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12 anos" sheetId="1" r:id="rId1"/>
    <sheet name="Graham R03 B2" sheetId="2" r:id="rId2"/>
    <sheet name="Barsi B00S B2" sheetId="3" r:id="rId3"/>
    <sheet name="Barsi B00S BH entradas" sheetId="4" r:id="rId4"/>
    <sheet name="BH Padrao" sheetId="5" r:id="rId5"/>
    <sheet name="Conciliacao 48 totais" sheetId="6" r:id="rId6"/>
    <sheet name="Transferencias resgates" sheetId="7" r:id="rId7"/>
    <sheet name="Leia-me" sheetId="8" r:id="rId8"/>
  </sheets>
  <calcPr calcId="124519" fullCalcOnLoad="1"/>
</workbook>
</file>

<file path=xl/sharedStrings.xml><?xml version="1.0" encoding="utf-8"?>
<sst xmlns="http://schemas.openxmlformats.org/spreadsheetml/2006/main" count="7299" uniqueCount="1045">
  <si>
    <t>Atribuição do retorno realizado — junho/2015 a junho/2026</t>
  </si>
  <si>
    <t>Base cb3db59 preservada. Cada ciclo usa as posições após a revisão do junho inicial e antes da revisão do junho final. Retornos em %, contribuições em p.p.; os CSVs conservam a precisão decimal original. Caso central qualificado.</t>
  </si>
  <si>
    <t>Fechamento</t>
  </si>
  <si>
    <t>Ciclo</t>
  </si>
  <si>
    <t>R03 B2</t>
  </si>
  <si>
    <t>B00S B2</t>
  </si>
  <si>
    <t>B00S BH+entradas</t>
  </si>
  <si>
    <t>BH padrão</t>
  </si>
  <si>
    <t>IBOV (%)</t>
  </si>
  <si>
    <t>Conciliações exatas</t>
  </si>
  <si>
    <t>Maior resíduo numérico (p.p.)</t>
  </si>
  <si>
    <t>jun/2015</t>
  </si>
  <si>
    <t>jun/2014 a jun/2015</t>
  </si>
  <si>
    <t>4 / 4</t>
  </si>
  <si>
    <t>jun/2016</t>
  </si>
  <si>
    <t>jun/2015 a jun/2016</t>
  </si>
  <si>
    <t>jun/2017</t>
  </si>
  <si>
    <t>jun/2016 a jun/2017</t>
  </si>
  <si>
    <t>jun/2018</t>
  </si>
  <si>
    <t>jun/2017 a jun/2018</t>
  </si>
  <si>
    <t>jun/2019</t>
  </si>
  <si>
    <t>jun/2018 a jun/2019</t>
  </si>
  <si>
    <t>jun/2020</t>
  </si>
  <si>
    <t>jun/2019 a jun/2020</t>
  </si>
  <si>
    <t>jun/2021</t>
  </si>
  <si>
    <t>jun/2020 a jun/2021</t>
  </si>
  <si>
    <t>jun/2022</t>
  </si>
  <si>
    <t>jun/2021 a jun/2022</t>
  </si>
  <si>
    <t>jun/2023</t>
  </si>
  <si>
    <t>jun/2022 a jun/2023</t>
  </si>
  <si>
    <t>jun/2024</t>
  </si>
  <si>
    <t>jun/2023 a jun/2024</t>
  </si>
  <si>
    <t>jun/2025</t>
  </si>
  <si>
    <t>jun/2024 a jun/2025</t>
  </si>
  <si>
    <t>jun/2026</t>
  </si>
  <si>
    <t>jun/2025 a jun/2026</t>
  </si>
  <si>
    <t>Abra a aba da carteira e filtre por fechamento ou ticker. As três maiores contribuições positivas e negativas estão sinalizadas em cada ano. IBOV aparece apenas nos totais. O peso final refere-se à exposição de origem e seus descendentes; resgates mantêm a atribuição dos recursos e do desempenho posterior na origem resgatada.</t>
  </si>
  <si>
    <t>R03 B2 — atribuição realizada</t>
  </si>
  <si>
    <t>Ações compradas apenas no junho de fechamento pertencem ao ciclo seguinte. NUMERICAL_RESIDUAL é apenas ponto flutuante, sem retorno individual. Limitações de seleção PIT e proventos do caso central permanecem. Códigos seguem os aliases dos livros congelados.</t>
  </si>
  <si>
    <t>CMIG3</t>
  </si>
  <si>
    <t>ATRIBUIÇÃO PRONTA REUTILIZADA</t>
  </si>
  <si>
    <t>HOLDING</t>
  </si>
  <si>
    <t>-2.755279344750148</t>
  </si>
  <si>
    <t>established_segment_positions.csv</t>
  </si>
  <si>
    <t>DIRR3</t>
  </si>
  <si>
    <t>NEGATIVA 2</t>
  </si>
  <si>
    <t>-9.001324152735933</t>
  </si>
  <si>
    <t>EZTC3</t>
  </si>
  <si>
    <t>-5.686153924250923</t>
  </si>
  <si>
    <t>HBOR3</t>
  </si>
  <si>
    <t>NEGATIVA 1</t>
  </si>
  <si>
    <t>-11.101822536142617</t>
  </si>
  <si>
    <t>JHSF3</t>
  </si>
  <si>
    <t>NEGATIVA 3</t>
  </si>
  <si>
    <t>-8.5392411926035</t>
  </si>
  <si>
    <t>LPSB3</t>
  </si>
  <si>
    <t>-7.984511798242054</t>
  </si>
  <si>
    <t>Resíduo explícito de ponto flutuante; não é ação, retorno econômico ou provento</t>
  </si>
  <si>
    <t>NUMERICAL_RESIDUAL</t>
  </si>
  <si>
    <t>5E-15</t>
  </si>
  <si>
    <t>annual_returns_pct.csv menos soma decimal das contribuições</t>
  </si>
  <si>
    <t>TOTAL DA CARTEIRA</t>
  </si>
  <si>
    <t>TOTAL</t>
  </si>
  <si>
    <t>-45.06833294872517</t>
  </si>
  <si>
    <t>Conciliação decimal exata nos CSVs; Excel usa até 15 algarismos significativos.</t>
  </si>
  <si>
    <t>ALSC3</t>
  </si>
  <si>
    <t>-0.13373820861668123</t>
  </si>
  <si>
    <t>1.6386612202722532</t>
  </si>
  <si>
    <t>DTEX3</t>
  </si>
  <si>
    <t>POSITIVA 3</t>
  </si>
  <si>
    <t>2.5921697154705328</t>
  </si>
  <si>
    <t>POSITIVA 2</t>
  </si>
  <si>
    <t>2.65162961853552</t>
  </si>
  <si>
    <t>GRND3</t>
  </si>
  <si>
    <t>0.4551777912632183</t>
  </si>
  <si>
    <t>GUAR3</t>
  </si>
  <si>
    <t>-0.8141784254179464</t>
  </si>
  <si>
    <t>-2.165863231164596</t>
  </si>
  <si>
    <t>HGTX3</t>
  </si>
  <si>
    <t>POSITIVA 1</t>
  </si>
  <si>
    <t>3.3453424508732508</t>
  </si>
  <si>
    <t>MILS3</t>
  </si>
  <si>
    <t>-4.049382716049382</t>
  </si>
  <si>
    <t>2.3E-16</t>
  </si>
  <si>
    <t>3.5198182151661697</t>
  </si>
  <si>
    <t>ENBR3</t>
  </si>
  <si>
    <t>DISTRIBUTION</t>
  </si>
  <si>
    <t>1.0522854725203823</t>
  </si>
  <si>
    <t>r03_continuation_positions.csv;r03_continuation_ledger.csv</t>
  </si>
  <si>
    <t>2.564530731769222</t>
  </si>
  <si>
    <t>DISTRIBUTION; SAÍDA NA REVISÃO FINAL: contribui integralmente neste ciclo</t>
  </si>
  <si>
    <t>6.3857551396454815</t>
  </si>
  <si>
    <t>5.164042927112785</t>
  </si>
  <si>
    <t>LINX3</t>
  </si>
  <si>
    <t>1.5376134183339336</t>
  </si>
  <si>
    <t>SEER3</t>
  </si>
  <si>
    <t>12.413589175712074</t>
  </si>
  <si>
    <t>TIMP3</t>
  </si>
  <si>
    <t>5.496202677746998</t>
  </si>
  <si>
    <t>YDUQ3</t>
  </si>
  <si>
    <t>-0.8851676872472964</t>
  </si>
  <si>
    <t>-2.60E-14</t>
  </si>
  <si>
    <t>33.728851855593554</t>
  </si>
  <si>
    <t>0.9049985840476241</t>
  </si>
  <si>
    <t>2.9031001709768507</t>
  </si>
  <si>
    <t>5.7E-15</t>
  </si>
  <si>
    <t>3.8080987550244805</t>
  </si>
  <si>
    <t>7.44239946303238</t>
  </si>
  <si>
    <t>13.873218985118015</t>
  </si>
  <si>
    <t>DISTRIBUTION; SHARES</t>
  </si>
  <si>
    <t>8.19891222073307</t>
  </si>
  <si>
    <t>SBSP3</t>
  </si>
  <si>
    <t>21.59352347368517</t>
  </si>
  <si>
    <t>15.204330705290324</t>
  </si>
  <si>
    <t>-9E-15</t>
  </si>
  <si>
    <t>66.31238484785895</t>
  </si>
  <si>
    <t>-0.7372614897837619</t>
  </si>
  <si>
    <t>1.939498173272843</t>
  </si>
  <si>
    <t>6.537566242152822</t>
  </si>
  <si>
    <t>VIVT3</t>
  </si>
  <si>
    <t>9.299980349804175</t>
  </si>
  <si>
    <t>5.9E-15</t>
  </si>
  <si>
    <t>17.039783275446084</t>
  </si>
  <si>
    <t>CPLE3</t>
  </si>
  <si>
    <t>0.5470696255495415</t>
  </si>
  <si>
    <t>ENAT3</t>
  </si>
  <si>
    <t>8.498785481401752</t>
  </si>
  <si>
    <t>0.47005141755760743</t>
  </si>
  <si>
    <t>ITSA3</t>
  </si>
  <si>
    <t>0.7469915217763712</t>
  </si>
  <si>
    <t>LEVE3</t>
  </si>
  <si>
    <t>10.42159577482651</t>
  </si>
  <si>
    <t>SAPR3</t>
  </si>
  <si>
    <t>-4.061694167783844</t>
  </si>
  <si>
    <t>-5.546914046410629</t>
  </si>
  <si>
    <t>3.139685668890064</t>
  </si>
  <si>
    <t>SLCE3</t>
  </si>
  <si>
    <t>14.188608447681077</t>
  </si>
  <si>
    <t>3.87E-15</t>
  </si>
  <si>
    <t>28.404179723488454</t>
  </si>
  <si>
    <t>3.295468418159031</t>
  </si>
  <si>
    <t>CSMG3</t>
  </si>
  <si>
    <t>-17.573512424192323</t>
  </si>
  <si>
    <t>1.603873799917399</t>
  </si>
  <si>
    <t>-0.29885257315215286</t>
  </si>
  <si>
    <t>-5.14E-15</t>
  </si>
  <si>
    <t>-12.973022779268051</t>
  </si>
  <si>
    <t>1.4166099413627722</t>
  </si>
  <si>
    <t>CSAN3</t>
  </si>
  <si>
    <t>0.055380072794674384</t>
  </si>
  <si>
    <t>20.644959815686068</t>
  </si>
  <si>
    <t>-1.4773156543711938</t>
  </si>
  <si>
    <t>0.5637317687278308</t>
  </si>
  <si>
    <t>FRAS3</t>
  </si>
  <si>
    <t>2.4286952764423675</t>
  </si>
  <si>
    <t>2.128441034012925</t>
  </si>
  <si>
    <t>2.07220848864611</t>
  </si>
  <si>
    <t>9.422716939804829</t>
  </si>
  <si>
    <t>0.452941246224907</t>
  </si>
  <si>
    <t>2.7139853041852566</t>
  </si>
  <si>
    <t>SYNE3</t>
  </si>
  <si>
    <t>SEM EVENTO NO CICLO; SAÍDA NA REVISÃO FINAL: contribui integralmente neste ciclo</t>
  </si>
  <si>
    <t>-0.2090592334494767</t>
  </si>
  <si>
    <t>TRIS3</t>
  </si>
  <si>
    <t>4.979392534637018</t>
  </si>
  <si>
    <t>UNIP3</t>
  </si>
  <si>
    <t>0.15079082484677309</t>
  </si>
  <si>
    <t>1.8926E-14</t>
  </si>
  <si>
    <t>45.34347835955088</t>
  </si>
  <si>
    <t>0.18942994618048434</t>
  </si>
  <si>
    <t>4.989802369761669</t>
  </si>
  <si>
    <t>DXCO3</t>
  </si>
  <si>
    <t>-3.370507854884605</t>
  </si>
  <si>
    <t>2.3263389617713646</t>
  </si>
  <si>
    <t>ITSA1;ITSA3</t>
  </si>
  <si>
    <t>DISTRIBUTION; RIGHT; RIGHT_REINVEST; SHARES</t>
  </si>
  <si>
    <t>1.0217111730856705</t>
  </si>
  <si>
    <t>0.45188840214758585</t>
  </si>
  <si>
    <t>2.3631388316405637</t>
  </si>
  <si>
    <t>-0.7634132008351878</t>
  </si>
  <si>
    <t>-0.7471774602031587</t>
  </si>
  <si>
    <t>DISTRIBUTION; SHARES; SAÍDA NA REVISÃO FINAL: contribui integralmente neste ciclo</t>
  </si>
  <si>
    <t>-1.3528946628912426</t>
  </si>
  <si>
    <t>3.11E-15</t>
  </si>
  <si>
    <t>5.108316505773147</t>
  </si>
  <si>
    <t>ALOS3</t>
  </si>
  <si>
    <t>0.9974805058749825</t>
  </si>
  <si>
    <t>3.2639288415301646</t>
  </si>
  <si>
    <t>1.2879678678733164</t>
  </si>
  <si>
    <t>9.079926486197271</t>
  </si>
  <si>
    <t>-1.1752942355689309</t>
  </si>
  <si>
    <t>1.2786077468361023</t>
  </si>
  <si>
    <t>KLBN3</t>
  </si>
  <si>
    <t>-0.5258259128674189</t>
  </si>
  <si>
    <t>LREN3</t>
  </si>
  <si>
    <t>6.166548197699091</t>
  </si>
  <si>
    <t>PNVL3</t>
  </si>
  <si>
    <t>0.08814709312158883</t>
  </si>
  <si>
    <t>POMO3</t>
  </si>
  <si>
    <t>3.472545978696209</t>
  </si>
  <si>
    <t>0.7173652622221011</t>
  </si>
  <si>
    <t>0.5737380899829058</t>
  </si>
  <si>
    <t>2.6166544646539975</t>
  </si>
  <si>
    <t>5.77E-15</t>
  </si>
  <si>
    <t>27.841790386251386</t>
  </si>
  <si>
    <t>2.459963159947557</t>
  </si>
  <si>
    <t>0.9379971343326916</t>
  </si>
  <si>
    <t>1.1669594792055324</t>
  </si>
  <si>
    <t>29.20054707640637</t>
  </si>
  <si>
    <t>FLRY3</t>
  </si>
  <si>
    <t>2.2183362413887413</t>
  </si>
  <si>
    <t>1.9055430529832744</t>
  </si>
  <si>
    <t>1.2438498098073991</t>
  </si>
  <si>
    <t>1.0442771655377527</t>
  </si>
  <si>
    <t>0.18256864804485196</t>
  </si>
  <si>
    <t>2.489536640309408</t>
  </si>
  <si>
    <t>TGMA3</t>
  </si>
  <si>
    <t>-0.46930318912960267</t>
  </si>
  <si>
    <t>-0.6699616217897872</t>
  </si>
  <si>
    <t>UGPA3</t>
  </si>
  <si>
    <t>4.612125993966699</t>
  </si>
  <si>
    <t>-7.59E-15</t>
  </si>
  <si>
    <t>46.32243959101088</t>
  </si>
  <si>
    <t>Ciclo anterior</t>
  </si>
  <si>
    <t>Ticker no início (livro)</t>
  </si>
  <si>
    <t>Sucessor / cisão / direito</t>
  </si>
  <si>
    <t>Peso inicial (%)</t>
  </si>
  <si>
    <t>Retorno bruto da exposição (%)</t>
  </si>
  <si>
    <t>Contribuição (p.p.)</t>
  </si>
  <si>
    <t>Peso final pré-revisão (%)</t>
  </si>
  <si>
    <t>Evento / status / limitação</t>
  </si>
  <si>
    <t>Destaque no ano</t>
  </si>
  <si>
    <t>IBOV anual (%) — total</t>
  </si>
  <si>
    <t>Tipo de linha</t>
  </si>
  <si>
    <t>Contribuição decimal exata (texto)</t>
  </si>
  <si>
    <t>Retorno publicado (%) — total</t>
  </si>
  <si>
    <t>Diferença de conciliação (p.p.)</t>
  </si>
  <si>
    <t>Fonte de posições</t>
  </si>
  <si>
    <t>B00S B2 — atribuição realizada</t>
  </si>
  <si>
    <t>ABCB4</t>
  </si>
  <si>
    <t>ABCB2</t>
  </si>
  <si>
    <t>ATRIBUIÇÃO PRONTA REUTILIZADA; direitos incluídos no ciclo original</t>
  </si>
  <si>
    <t>-0.3515275181357226</t>
  </si>
  <si>
    <t>b00s_initial_contributions.csv;b00s_initial_positions.csv</t>
  </si>
  <si>
    <t>BBAS3</t>
  </si>
  <si>
    <t>0.2147629343414205</t>
  </si>
  <si>
    <t>BBDC4</t>
  </si>
  <si>
    <t>0.4251412880901917</t>
  </si>
  <si>
    <t>BRSR6</t>
  </si>
  <si>
    <t>-0.4774574027880382</t>
  </si>
  <si>
    <t>CMIG4</t>
  </si>
  <si>
    <t>-0.3645648269944405</t>
  </si>
  <si>
    <t>COCE5</t>
  </si>
  <si>
    <t>0.4177733995223455</t>
  </si>
  <si>
    <t>CPFE3</t>
  </si>
  <si>
    <t>-0.005552914816609952</t>
  </si>
  <si>
    <t>CPLE6</t>
  </si>
  <si>
    <t>0.21265126942930507</t>
  </si>
  <si>
    <t>-6.577173990005318</t>
  </si>
  <si>
    <t>0.21486124643701027</t>
  </si>
  <si>
    <t>EQTL3</t>
  </si>
  <si>
    <t>0.8720115686134247</t>
  </si>
  <si>
    <t>GETI4</t>
  </si>
  <si>
    <t>-0.05509131320539512</t>
  </si>
  <si>
    <t>ITUB4</t>
  </si>
  <si>
    <t>0.45260768874196766</t>
  </si>
  <si>
    <t>LIGT3</t>
  </si>
  <si>
    <t>-0.3486810946196659</t>
  </si>
  <si>
    <t>PSSA3</t>
  </si>
  <si>
    <t>7.202908133315466</t>
  </si>
  <si>
    <t>-2.8523047919090883</t>
  </si>
  <si>
    <t>TBLE3</t>
  </si>
  <si>
    <t>0.18769905136925003</t>
  </si>
  <si>
    <t>-1.939467553568701</t>
  </si>
  <si>
    <t>TRPL4</t>
  </si>
  <si>
    <t>TRPL2</t>
  </si>
  <si>
    <t>1.0112076908507346</t>
  </si>
  <si>
    <t>VIVT4</t>
  </si>
  <si>
    <t>0.7143452012423696</t>
  </si>
  <si>
    <t>1.642E-15</t>
  </si>
  <si>
    <t>-1.0458519340894923</t>
  </si>
  <si>
    <t>0.8431499330483245</t>
  </si>
  <si>
    <t>b00s_b2_continuation_positions.csv;b00s_b2_continuation_ledger.csv</t>
  </si>
  <si>
    <t>-1.0369905355184772</t>
  </si>
  <si>
    <t>0.13575859329814532</t>
  </si>
  <si>
    <t>0.31899834827115625</t>
  </si>
  <si>
    <t>-0.5700652728325085</t>
  </si>
  <si>
    <t>0.22257570566117213</t>
  </si>
  <si>
    <t>-0.29084549421502415</t>
  </si>
  <si>
    <t>4.189495108395563</t>
  </si>
  <si>
    <t>0.5650112607662187</t>
  </si>
  <si>
    <t>1.2484081720096163</t>
  </si>
  <si>
    <t>TIET11</t>
  </si>
  <si>
    <t>CONVERSION; DISTRIBUTION</t>
  </si>
  <si>
    <t>-0.09357549387993003</t>
  </si>
  <si>
    <t>0.12484362022285923</t>
  </si>
  <si>
    <t>SEM EVENTO NO CICLO</t>
  </si>
  <si>
    <t>-0.571872800200477</t>
  </si>
  <si>
    <t>-9.248241536515463</t>
  </si>
  <si>
    <t>5.770779793387486</t>
  </si>
  <si>
    <t>0.36709064154637844</t>
  </si>
  <si>
    <t>-2.6302973104390115</t>
  </si>
  <si>
    <t>2.073698620818245</t>
  </si>
  <si>
    <t>0.6712539809683791</t>
  </si>
  <si>
    <t>1.741E-14</t>
  </si>
  <si>
    <t>2.08917533479267</t>
  </si>
  <si>
    <t>1.977997157239887</t>
  </si>
  <si>
    <t>2.19478615245486</t>
  </si>
  <si>
    <t>1.4229800344936736</t>
  </si>
  <si>
    <t>2.6383786864772945</t>
  </si>
  <si>
    <t>0.22731323742241996</t>
  </si>
  <si>
    <t>0.7394605115184756</t>
  </si>
  <si>
    <t>-0.22224450281008654</t>
  </si>
  <si>
    <t>0.26041293115994835</t>
  </si>
  <si>
    <t>0.6002592777139404</t>
  </si>
  <si>
    <t>2.057119237917763</t>
  </si>
  <si>
    <t>1.2177032638592145</t>
  </si>
  <si>
    <t>3.887705241679384</t>
  </si>
  <si>
    <t>1.843410592284179</t>
  </si>
  <si>
    <t>-0.16803441459196097</t>
  </si>
  <si>
    <t>2.720692166881895</t>
  </si>
  <si>
    <t>0.33405853194095225</t>
  </si>
  <si>
    <t>0.9361954231281958</t>
  </si>
  <si>
    <t>-2.45E-15</t>
  </si>
  <si>
    <t>22.668193528770033</t>
  </si>
  <si>
    <t>-0.2182156400671747</t>
  </si>
  <si>
    <t>0.46587312877260956</t>
  </si>
  <si>
    <t>0.44397928136962894</t>
  </si>
  <si>
    <t>1.0248036142341934</t>
  </si>
  <si>
    <t>CMIG2;CMIG4</t>
  </si>
  <si>
    <t>DISTRIBUTION; RIGHT; RIGHT_REINVEST</t>
  </si>
  <si>
    <t>-0.015510360638346408</t>
  </si>
  <si>
    <t>-0.4170918174375643</t>
  </si>
  <si>
    <t>-0.09414579523897613</t>
  </si>
  <si>
    <t>0.05253543544747979</t>
  </si>
  <si>
    <t>0.2554495272121372</t>
  </si>
  <si>
    <t>0.8796871615052467</t>
  </si>
  <si>
    <t>8.589902541915583</t>
  </si>
  <si>
    <t>SAPR4</t>
  </si>
  <si>
    <t>-1.255875363022593</t>
  </si>
  <si>
    <t>-2.9262267997584277</t>
  </si>
  <si>
    <t>0.19888109697586376</t>
  </si>
  <si>
    <t>2.4571760351341765</t>
  </si>
  <si>
    <t>0.026320886725232768</t>
  </si>
  <si>
    <t>0.7346433081221645</t>
  </si>
  <si>
    <t>1.0120E-14</t>
  </si>
  <si>
    <t>10.202186241251244</t>
  </si>
  <si>
    <t>1.4851952834632127</t>
  </si>
  <si>
    <t>3.843114066965485</t>
  </si>
  <si>
    <t>3.2256253150462</t>
  </si>
  <si>
    <t>BBSE3</t>
  </si>
  <si>
    <t>3.904722780289668</t>
  </si>
  <si>
    <t>3.612874733198887</t>
  </si>
  <si>
    <t>0.9764448543618477</t>
  </si>
  <si>
    <t>0.6937888315585897</t>
  </si>
  <si>
    <t>1.4620891411247807</t>
  </si>
  <si>
    <t>0.9156741585043284</t>
  </si>
  <si>
    <t>2.1418334732083504</t>
  </si>
  <si>
    <t>2.2817542252298284</t>
  </si>
  <si>
    <t>7.63367418311554</t>
  </si>
  <si>
    <t>5.527660616983381</t>
  </si>
  <si>
    <t>8.045538891844233</t>
  </si>
  <si>
    <t>1.3275349524255293</t>
  </si>
  <si>
    <t>-0.7374594002889935</t>
  </si>
  <si>
    <t>3.2889128164320995</t>
  </si>
  <si>
    <t>1.9986475280895144</t>
  </si>
  <si>
    <t>-1.7E-15</t>
  </si>
  <si>
    <t>51.62762645155248</t>
  </si>
  <si>
    <t>-0.7804116995828821</t>
  </si>
  <si>
    <t>-1.8116450261605295</t>
  </si>
  <si>
    <t>-1.6743094115638224</t>
  </si>
  <si>
    <t>-0.952014554355367</t>
  </si>
  <si>
    <t>-2.1334926530644003</t>
  </si>
  <si>
    <t>-0.27620628873831504</t>
  </si>
  <si>
    <t>0.010789292907200666</t>
  </si>
  <si>
    <t>0.47133949673236447</t>
  </si>
  <si>
    <t>-0.09286083019923483</t>
  </si>
  <si>
    <t>SHARES</t>
  </si>
  <si>
    <t>0.8979600599625932</t>
  </si>
  <si>
    <t>IRBR3</t>
  </si>
  <si>
    <t>-4.420231885605421</t>
  </si>
  <si>
    <t>-1.1591347318732608</t>
  </si>
  <si>
    <t>0.3867140876997557</t>
  </si>
  <si>
    <t>2.603894449138121</t>
  </si>
  <si>
    <t>2.4936227930710864</t>
  </si>
  <si>
    <t>0.0008627159533233581</t>
  </si>
  <si>
    <t>1.080135386259075</t>
  </si>
  <si>
    <t>-0.37445187319776446</t>
  </si>
  <si>
    <t>0.14153300147191986</t>
  </si>
  <si>
    <t>4.7759E-15</t>
  </si>
  <si>
    <t>-5.587907671145553</t>
  </si>
  <si>
    <t>0.4689100481863567</t>
  </si>
  <si>
    <t>0.1799212942555203</t>
  </si>
  <si>
    <t>1.1664492104039161</t>
  </si>
  <si>
    <t>-0.8154024124377187</t>
  </si>
  <si>
    <t>0.10940070157726105</t>
  </si>
  <si>
    <t>0.3350449423301613</t>
  </si>
  <si>
    <t>0.2474422472485072</t>
  </si>
  <si>
    <t>0.0904551045507346</t>
  </si>
  <si>
    <t>0.11738361137112106</t>
  </si>
  <si>
    <t>0.477409697503979</t>
  </si>
  <si>
    <t>IRBR1;IRBR3</t>
  </si>
  <si>
    <t>DISTRIBUTION; RIGHT; RIGHT_REINVEST; SAÍDA NA REVISÃO FINAL: contribui integralmente neste ciclo</t>
  </si>
  <si>
    <t>-0.9229484985307942</t>
  </si>
  <si>
    <t>0.6540792258475432</t>
  </si>
  <si>
    <t>NEOE3</t>
  </si>
  <si>
    <t>-0.156708076518447</t>
  </si>
  <si>
    <t>2.01654649757926</t>
  </si>
  <si>
    <t>SANB4</t>
  </si>
  <si>
    <t>1.8221743883092494</t>
  </si>
  <si>
    <t>-3.1035700379755133</t>
  </si>
  <si>
    <t>-4.1948571891629935</t>
  </si>
  <si>
    <t>-0.027256081639833965</t>
  </si>
  <si>
    <t>TIET4</t>
  </si>
  <si>
    <t>AESB3</t>
  </si>
  <si>
    <t>-0.04628176537089471</t>
  </si>
  <si>
    <t>TIMS3</t>
  </si>
  <si>
    <t>-0.7619781954196414</t>
  </si>
  <si>
    <t>1.3414435728418448</t>
  </si>
  <si>
    <t>-0.38097531503547605</t>
  </si>
  <si>
    <t>-4.085E-15</t>
  </si>
  <si>
    <t>-1.3833170300858622</t>
  </si>
  <si>
    <t>0.12236990878240711</t>
  </si>
  <si>
    <t>-0.48447679703758145</t>
  </si>
  <si>
    <t>0.37445505462763223</t>
  </si>
  <si>
    <t>-0.8790475149498864</t>
  </si>
  <si>
    <t>1.2586207290699711</t>
  </si>
  <si>
    <t>0.27176896769483166</t>
  </si>
  <si>
    <t>0.6774291937849818</t>
  </si>
  <si>
    <t>0.7284089488006008</t>
  </si>
  <si>
    <t>-1.4689883122448166</t>
  </si>
  <si>
    <t>0.4986653192807464</t>
  </si>
  <si>
    <t>-0.24859737255574743</t>
  </si>
  <si>
    <t>XPBR31</t>
  </si>
  <si>
    <t>DISTRIBUTION; SPINOFF</t>
  </si>
  <si>
    <t>-0.563811978401614</t>
  </si>
  <si>
    <t>-0.19958842857753872</t>
  </si>
  <si>
    <t>-5.8992604217423334</t>
  </si>
  <si>
    <t>-1.0828200029591506</t>
  </si>
  <si>
    <t>-0.3346567088432736</t>
  </si>
  <si>
    <t>1.2807179160791176</t>
  </si>
  <si>
    <t>TAEE4</t>
  </si>
  <si>
    <t>0.31969515983128616</t>
  </si>
  <si>
    <t>0.22041534362304033</t>
  </si>
  <si>
    <t>0.6186946051771887</t>
  </si>
  <si>
    <t>-0.030221224429304912</t>
  </si>
  <si>
    <t>1.2676766838396794</t>
  </si>
  <si>
    <t>7.822E-15</t>
  </si>
  <si>
    <t>-3.552550931149756</t>
  </si>
  <si>
    <t>0.9611151394415657</t>
  </si>
  <si>
    <t>0.2719201545670837</t>
  </si>
  <si>
    <t>2.2138688496528234</t>
  </si>
  <si>
    <t>0.06772571146818769</t>
  </si>
  <si>
    <t>2.3095351131044417</t>
  </si>
  <si>
    <t>0.492404307281307</t>
  </si>
  <si>
    <t>0.4739838355217717</t>
  </si>
  <si>
    <t>0.6665832248089859</t>
  </si>
  <si>
    <t>5.450106733203212</t>
  </si>
  <si>
    <t>0.5535319329297324</t>
  </si>
  <si>
    <t>1.8735772229026448</t>
  </si>
  <si>
    <t>1.0205531419256741</t>
  </si>
  <si>
    <t>0.9679460529980823</t>
  </si>
  <si>
    <t>9.378053258114496</t>
  </si>
  <si>
    <t>0.5580988679383416</t>
  </si>
  <si>
    <t>1.8361110387583883</t>
  </si>
  <si>
    <t>3.3515167218147464</t>
  </si>
  <si>
    <t>0.18045708461188448</t>
  </si>
  <si>
    <t>0.40811494000019055</t>
  </si>
  <si>
    <t>1.103325482654555</t>
  </si>
  <si>
    <t>0.7975702216562052</t>
  </si>
  <si>
    <t>-0.16964609750029058</t>
  </si>
  <si>
    <t>0.05523724049473023</t>
  </si>
  <si>
    <t>1.443E-14</t>
  </si>
  <si>
    <t>34.821690178348774</t>
  </si>
  <si>
    <t>0.778646219896229</t>
  </si>
  <si>
    <t>-0.09096488624244754</t>
  </si>
  <si>
    <t>0.7478316856490294</t>
  </si>
  <si>
    <t>-0.43050704274878926</t>
  </si>
  <si>
    <t>1.2929114307730245</t>
  </si>
  <si>
    <t>0.08602063139154381</t>
  </si>
  <si>
    <t>0.1451104962321527</t>
  </si>
  <si>
    <t>0.39145993909521154</t>
  </si>
  <si>
    <t>1.4200711116048463</t>
  </si>
  <si>
    <t>ABCB4;AESB3;BBAS3;BBDC4;BBSE3;CMIG4;CPFE3;CPLE6;CSMG3;EQTL3;ITUB4;NEOE3;PSSA3;SANB4;SAPR4;SBSP3;TAEE4;TBLE3;TIMS3;TRPL4;VIVT3;XPBR31</t>
  </si>
  <si>
    <t>DISTRIBUTION; REDEMPTION; SHARES; resgate: principal e retorno posterior preservados na origem</t>
  </si>
  <si>
    <t>0.38875832942958877</t>
  </si>
  <si>
    <t>-0.14506543969472968</t>
  </si>
  <si>
    <t>0.6863562688540036</t>
  </si>
  <si>
    <t>-0.17287317562563828</t>
  </si>
  <si>
    <t>2.56165954366967</t>
  </si>
  <si>
    <t>-0.19927671826675072</t>
  </si>
  <si>
    <t>2.2127007819704323</t>
  </si>
  <si>
    <t>3.146001444859468</t>
  </si>
  <si>
    <t>0.015645043909264276</t>
  </si>
  <si>
    <t>0.045112484996704685</t>
  </si>
  <si>
    <t>0.7351880139418309</t>
  </si>
  <si>
    <t>0.5305499377642892</t>
  </si>
  <si>
    <t>0.5790122044768419</t>
  </si>
  <si>
    <t>-0.0200011456830893</t>
  </si>
  <si>
    <t>-2.101E-15</t>
  </si>
  <si>
    <t>14.704347160252684</t>
  </si>
  <si>
    <t>0.327995082891759</t>
  </si>
  <si>
    <t>AURE3</t>
  </si>
  <si>
    <t>-0.3509459460045126</t>
  </si>
  <si>
    <t>-0.5636036505119973</t>
  </si>
  <si>
    <t>0.8167330109015687</t>
  </si>
  <si>
    <t>1.5665002555493637</t>
  </si>
  <si>
    <t>BMGB4</t>
  </si>
  <si>
    <t>1.2226446088312157</t>
  </si>
  <si>
    <t>0.2966623526372383</t>
  </si>
  <si>
    <t>0.8258706447692544</t>
  </si>
  <si>
    <t>1.1956932169375463</t>
  </si>
  <si>
    <t>3.6827421076238664</t>
  </si>
  <si>
    <t>ELET3</t>
  </si>
  <si>
    <t>0.7541181586108591</t>
  </si>
  <si>
    <t>0.7974282681556508</t>
  </si>
  <si>
    <t>1.1880858349369343</t>
  </si>
  <si>
    <t>0.764242412714222</t>
  </si>
  <si>
    <t>16.10873129349908</t>
  </si>
  <si>
    <t>0.38173708041140164</t>
  </si>
  <si>
    <t>3.275303701960076</t>
  </si>
  <si>
    <t>0.1416971318981098</t>
  </si>
  <si>
    <t>0.13904167473020038</t>
  </si>
  <si>
    <t>2.4643870821078173</t>
  </si>
  <si>
    <t>-0.09887565711617373</t>
  </si>
  <si>
    <t>2.5043127384857238</t>
  </si>
  <si>
    <t>0.03720262344238545</t>
  </si>
  <si>
    <t>1.056E-14</t>
  </si>
  <si>
    <t>37.4777040274616</t>
  </si>
  <si>
    <t>0.6730488734224054</t>
  </si>
  <si>
    <t>-0.22945851564469105</t>
  </si>
  <si>
    <t>0.3181412439715012</t>
  </si>
  <si>
    <t>1.706135768811647</t>
  </si>
  <si>
    <t>3.4917113613710273</t>
  </si>
  <si>
    <t>0.0863085709213989</t>
  </si>
  <si>
    <t>0.4279519247490435</t>
  </si>
  <si>
    <t>CPLE3;CPLE5</t>
  </si>
  <si>
    <t>1.0935517643548855</t>
  </si>
  <si>
    <t>11.08288212835789</t>
  </si>
  <si>
    <t>AXIA7</t>
  </si>
  <si>
    <t>3.072891523362364</t>
  </si>
  <si>
    <t>0.3709999408148708</t>
  </si>
  <si>
    <t>0.9375081025283396</t>
  </si>
  <si>
    <t>ABCB4;AXIA7;BBAS3;BBDC4;BBSE3;BMGB4;CMIG4;CPFE3;CPLE3;CSMG3;ELET3;EQTL3;ITUB4;PSSA3;SANB4;SAPR4;TAEE4;TBLE3;TIMS3;TRPL4;VIVT3;XPBR31</t>
  </si>
  <si>
    <t>DISTRIBUTION; REDEMPTION; resgate: principal e retorno posterior preservados na origem</t>
  </si>
  <si>
    <t>0.8190176918921591</t>
  </si>
  <si>
    <t>0.450094582289124</t>
  </si>
  <si>
    <t>-0.05445807600462487</t>
  </si>
  <si>
    <t>-0.026410130336577825</t>
  </si>
  <si>
    <t>0.3703570467720003</t>
  </si>
  <si>
    <t>0.15574702784090808</t>
  </si>
  <si>
    <t>0.33823534121515975</t>
  </si>
  <si>
    <t>0.9293251195132971</t>
  </si>
  <si>
    <t>1.0429807572802166</t>
  </si>
  <si>
    <t>-0.039230477362321235</t>
  </si>
  <si>
    <t>-1.6150E-14</t>
  </si>
  <si>
    <t>27.017331570120007</t>
  </si>
  <si>
    <t>B00S BH+entradas — atribuição realizada</t>
  </si>
  <si>
    <t>0.8225490232352719</t>
  </si>
  <si>
    <t>b00s_bh_continuation_positions.csv;b00s_bh_continuation_ledger.csv</t>
  </si>
  <si>
    <t>-1.0116534659631617</t>
  </si>
  <si>
    <t>0.13244156695768133</t>
  </si>
  <si>
    <t>0.31120417555565016</t>
  </si>
  <si>
    <t>-0.5561367142062663</t>
  </si>
  <si>
    <t>0.12392923062317582</t>
  </si>
  <si>
    <t>0.2171374533893317</t>
  </si>
  <si>
    <t>-0.2837391877788793</t>
  </si>
  <si>
    <t>4.087132044001728</t>
  </si>
  <si>
    <t>0.5512061881804666</t>
  </si>
  <si>
    <t>1.2179054782971628</t>
  </si>
  <si>
    <t>-0.091289138589403</t>
  </si>
  <si>
    <t>0.12179328236462324</t>
  </si>
  <si>
    <t>-0.5579000777703456</t>
  </si>
  <si>
    <t>-9.022276755691403</t>
  </si>
  <si>
    <t>5.629780773622693</t>
  </si>
  <si>
    <t>0.358121416853005</t>
  </si>
  <si>
    <t>-2.5660305465457114</t>
  </si>
  <si>
    <t>2.023031382890018</t>
  </si>
  <si>
    <t>0.6548530513334948</t>
  </si>
  <si>
    <t>2.95E-15</t>
  </si>
  <si>
    <t>2.162059180759135</t>
  </si>
  <si>
    <t>1.7459014939968305</t>
  </si>
  <si>
    <t>1.9372527450552735</t>
  </si>
  <si>
    <t>1.25600937243858</t>
  </si>
  <si>
    <t>2.32879469699433</t>
  </si>
  <si>
    <t>0.20064059211027893</t>
  </si>
  <si>
    <t>0.331190346201863</t>
  </si>
  <si>
    <t>0.6526931583730258</t>
  </si>
  <si>
    <t>-0.1961666163515399</t>
  </si>
  <si>
    <t>2.9473537199642363</t>
  </si>
  <si>
    <t>0.2298564100075243</t>
  </si>
  <si>
    <t>0.5298256197742</t>
  </si>
  <si>
    <t>1.815739490658265</t>
  </si>
  <si>
    <t>1.0748195162136858</t>
  </si>
  <si>
    <t>3.431526867884253</t>
  </si>
  <si>
    <t>1.6271071448907113</t>
  </si>
  <si>
    <t>-0.14831747073305213</t>
  </si>
  <si>
    <t>-0.006968942841234249</t>
  </si>
  <si>
    <t>2.401449618609588</t>
  </si>
  <si>
    <t>0.29486052993723516</t>
  </si>
  <si>
    <t>0.8263434464149186</t>
  </si>
  <si>
    <t>7.089E-15</t>
  </si>
  <si>
    <t>23.27991173959898</t>
  </si>
  <si>
    <t>-0.18782751617436083</t>
  </si>
  <si>
    <t>0.40099688822854607</t>
  </si>
  <si>
    <t>0.38215191920644925</t>
  </si>
  <si>
    <t>0.8820922156123254</t>
  </si>
  <si>
    <t>-0.01335042947779711</t>
  </si>
  <si>
    <t>0.07330936250327001</t>
  </si>
  <si>
    <t>-0.3590087312798993</t>
  </si>
  <si>
    <t>-0.08103530467638957</t>
  </si>
  <si>
    <t>1.0540993461557004</t>
  </si>
  <si>
    <t>0.045219491821030876</t>
  </si>
  <si>
    <t>0.2198763122084199</t>
  </si>
  <si>
    <t>0.7571842902971573</t>
  </si>
  <si>
    <t>-0.7860763713521883</t>
  </si>
  <si>
    <t>7.393695787025904</t>
  </si>
  <si>
    <t>-1.2558753630225925</t>
  </si>
  <si>
    <t>-2.5187283156802067</t>
  </si>
  <si>
    <t>0.17118544961996862</t>
  </si>
  <si>
    <t>-0.33641124003750716</t>
  </si>
  <si>
    <t>2.1149963006333596</t>
  </si>
  <si>
    <t>0.02265551073967598</t>
  </si>
  <si>
    <t>0.6323388543379589</t>
  </si>
  <si>
    <t>-3.836E-15</t>
  </si>
  <si>
    <t>8.611488456688821</t>
  </si>
  <si>
    <t>1.2970936920576324</t>
  </si>
  <si>
    <t>3.35637950754532</t>
  </si>
  <si>
    <t>2.8170963749168654</t>
  </si>
  <si>
    <t>3.9047227802896667</t>
  </si>
  <si>
    <t>3.15530023479418</t>
  </si>
  <si>
    <t>0.852777055877486</t>
  </si>
  <si>
    <t>0.5352310170952264</t>
  </si>
  <si>
    <t>0.6059197245336344</t>
  </si>
  <si>
    <t>1.2769139676748025</t>
  </si>
  <si>
    <t>4.902303639728211</t>
  </si>
  <si>
    <t>0.7997030344767897</t>
  </si>
  <si>
    <t>1.8705679438048497</t>
  </si>
  <si>
    <t>1.9927675810214538</t>
  </si>
  <si>
    <t>0.47452362232125994</t>
  </si>
  <si>
    <t>6.666861079072124</t>
  </si>
  <si>
    <t>5.608617407302618</t>
  </si>
  <si>
    <t>7.026562676310845</t>
  </si>
  <si>
    <t>1.1594012127226332</t>
  </si>
  <si>
    <t>0.2664134270966989</t>
  </si>
  <si>
    <t>-0.6440593684306238</t>
  </si>
  <si>
    <t>2.8723684456995833</t>
  </si>
  <si>
    <t>1.7455166537335032</t>
  </si>
  <si>
    <t>2.6E-16</t>
  </si>
  <si>
    <t>52.54298170964476</t>
  </si>
  <si>
    <t>-0.6774818471726429</t>
  </si>
  <si>
    <t>-1.572704021992968</t>
  </si>
  <si>
    <t>-1.4534818397662053</t>
  </si>
  <si>
    <t>-0.9463018593605351</t>
  </si>
  <si>
    <t>-1.8521026072518865</t>
  </si>
  <si>
    <t>-0.23977696233302137</t>
  </si>
  <si>
    <t>0.011318411737072742</t>
  </si>
  <si>
    <t>0.009366274355399754</t>
  </si>
  <si>
    <t>0.40917371313415674</t>
  </si>
  <si>
    <t>-0.8314571095797326</t>
  </si>
  <si>
    <t>-0.08061325426949406</t>
  </si>
  <si>
    <t>0.7795265504551881</t>
  </si>
  <si>
    <t>-1.0062544419710626</t>
  </si>
  <si>
    <t>-0.09999306213462232</t>
  </si>
  <si>
    <t>0.3357096960521538</t>
  </si>
  <si>
    <t>2.6261765929243786</t>
  </si>
  <si>
    <t>2.164734558572806</t>
  </si>
  <si>
    <t>0.0007489308501591997</t>
  </si>
  <si>
    <t>0.27125269878350183</t>
  </si>
  <si>
    <t>0.9376744570467798</t>
  </si>
  <si>
    <t>-0.3250647662853702</t>
  </si>
  <si>
    <t>0.122865968468099</t>
  </si>
  <si>
    <t>-1.6157E-15</t>
  </si>
  <si>
    <t>-5.836915805343268</t>
  </si>
  <si>
    <t>0.42177166201407207</t>
  </si>
  <si>
    <t>0.16183424433616603</t>
  </si>
  <si>
    <t>1.0491889095358853</t>
  </si>
  <si>
    <t>-0.8397926394295059</t>
  </si>
  <si>
    <t>0.09840291524614364</t>
  </si>
  <si>
    <t>0.30136368952332715</t>
  </si>
  <si>
    <t>0.15955714138520852</t>
  </si>
  <si>
    <t>-0.02652976955349541</t>
  </si>
  <si>
    <t>0.08136187298946024</t>
  </si>
  <si>
    <t>-0.29177820616295186</t>
  </si>
  <si>
    <t>0.10558332254278263</t>
  </si>
  <si>
    <t>0.42941686226750336</t>
  </si>
  <si>
    <t>-0.9562940066234931</t>
  </si>
  <si>
    <t>0.5883262328065039</t>
  </si>
  <si>
    <t>-0.04728043999685605</t>
  </si>
  <si>
    <t>-0.15670807651844698</t>
  </si>
  <si>
    <t>1.8138279849243992</t>
  </si>
  <si>
    <t>1.8221743883092503</t>
  </si>
  <si>
    <t>-3.243217443456459</t>
  </si>
  <si>
    <t>-3.773158403041526</t>
  </si>
  <si>
    <t>-0.024516094073239722</t>
  </si>
  <si>
    <t>-0.04855885713209346</t>
  </si>
  <si>
    <t>-0.6853783815118879</t>
  </si>
  <si>
    <t>1.2065915145216628</t>
  </si>
  <si>
    <t>-0.34267679362031306</t>
  </si>
  <si>
    <t>-5.098E-15</t>
  </si>
  <si>
    <t>-2.1964883707179084</t>
  </si>
  <si>
    <t>0.11348814485266746</t>
  </si>
  <si>
    <t>-0.2053236124515581</t>
  </si>
  <si>
    <t>0.3472766295508083</t>
  </si>
  <si>
    <t>-0.8152451260415781</t>
  </si>
  <si>
    <t>1.3365430586614002</t>
  </si>
  <si>
    <t>-0.7042659918288031</t>
  </si>
  <si>
    <t>0.2520436296725019</t>
  </si>
  <si>
    <t>-0.25883564772470447</t>
  </si>
  <si>
    <t>0.3735680498938945</t>
  </si>
  <si>
    <t>0.6755400989997815</t>
  </si>
  <si>
    <t>-1.3779335098998242</t>
  </si>
  <si>
    <t>0.46247155489970526</t>
  </si>
  <si>
    <t>-0.23055385843889126</t>
  </si>
  <si>
    <t>-0.8403734102960552</t>
  </si>
  <si>
    <t>-0.5228897864775576</t>
  </si>
  <si>
    <t>-0.33947017943572816</t>
  </si>
  <si>
    <t>-0.205789570898992</t>
  </si>
  <si>
    <t>-5.471084582213505</t>
  </si>
  <si>
    <t>-1.1164628398446426</t>
  </si>
  <si>
    <t>-0.3605803493254171</t>
  </si>
  <si>
    <t>1.1877617775611922</t>
  </si>
  <si>
    <t>0.2044173170817815</t>
  </si>
  <si>
    <t>0.5737889622584006</t>
  </si>
  <si>
    <t>-0.028027729445777645</t>
  </si>
  <si>
    <t>1.1756670945776644</t>
  </si>
  <si>
    <t>-1.445E-15</t>
  </si>
  <si>
    <t>-5.454574716481952</t>
  </si>
  <si>
    <t>0.9092880940441246</t>
  </si>
  <si>
    <t>0.11755944809749204</t>
  </si>
  <si>
    <t>2.094488479220201</t>
  </si>
  <si>
    <t>0.0640736791790348</t>
  </si>
  <si>
    <t>2.501859229129337</t>
  </si>
  <si>
    <t>1.8703054705088513</t>
  </si>
  <si>
    <t>0.46585196267648576</t>
  </si>
  <si>
    <t>0.30243926003046784</t>
  </si>
  <si>
    <t>0.26663648374822274</t>
  </si>
  <si>
    <t>0.6306384793402786</t>
  </si>
  <si>
    <t>5.215130191074056</t>
  </si>
  <si>
    <t>0.5236833503410212</t>
  </si>
  <si>
    <t>1.7725466930502016</t>
  </si>
  <si>
    <t>-0.13744799372166952</t>
  </si>
  <si>
    <t>0.9655209695599181</t>
  </si>
  <si>
    <t>0.14089504261836935</t>
  </si>
  <si>
    <t>1.0180975252594513</t>
  </si>
  <si>
    <t>8.872352357148232</t>
  </si>
  <si>
    <t>0.5870152314152293</t>
  </si>
  <si>
    <t>2.0181418425769233</t>
  </si>
  <si>
    <t>3.1707899783023064</t>
  </si>
  <si>
    <t>0.184087441830483</t>
  </si>
  <si>
    <t>0.3861078040653086</t>
  </si>
  <si>
    <t>1.0438299055576032</t>
  </si>
  <si>
    <t>0.7545621507299259</t>
  </si>
  <si>
    <t>-0.16049812382280332</t>
  </si>
  <si>
    <t>0.052258634859183584</t>
  </si>
  <si>
    <t>-2.0674E-14</t>
  </si>
  <si>
    <t>35.630213586818215</t>
  </si>
  <si>
    <t>0.7322672101890569</t>
  </si>
  <si>
    <t>-0.0390924817860002</t>
  </si>
  <si>
    <t>0.7032881020268452</t>
  </si>
  <si>
    <t>-0.40486447260016345</t>
  </si>
  <si>
    <t>1.3922281065891875</t>
  </si>
  <si>
    <t>-0.6381130066708376</t>
  </si>
  <si>
    <t>0.08089692874407323</t>
  </si>
  <si>
    <t>-0.5715154785041973</t>
  </si>
  <si>
    <t>0.08114433237327588</t>
  </si>
  <si>
    <t>0.3681431569015149</t>
  </si>
  <si>
    <t>1.3507456001822373</t>
  </si>
  <si>
    <t>ABCB4;AESB3;BBAS3;BBDC4;BBSE3;BRSR6;CMIG4;COCE5;CPFE3;CPLE6;CSMG3;EQTL3;IRBR3;ITUB4;LIGT3;NEOE3;PSSA3;SANB4;SAPR4;SBSP3;TAEE4;TBLE3;TIMS3;TRPL4;VIVT3;XPBR31</t>
  </si>
  <si>
    <t>0.34342822288245517</t>
  </si>
  <si>
    <t>-0.13642481284281527</t>
  </si>
  <si>
    <t>-0.06979919048099237</t>
  </si>
  <si>
    <t>0.6454743853459826</t>
  </si>
  <si>
    <t>-0.12622191417108286</t>
  </si>
  <si>
    <t>-0.1807461936109831</t>
  </si>
  <si>
    <t>2.4090777551673663</t>
  </si>
  <si>
    <t>-0.20835221064025938</t>
  </si>
  <si>
    <t>2.417568321107414</t>
  </si>
  <si>
    <t>2.958614120781331</t>
  </si>
  <si>
    <t>0.01586464410092006</t>
  </si>
  <si>
    <t>0.04242542079975062</t>
  </si>
  <si>
    <t>0.6913975335363036</t>
  </si>
  <si>
    <t>0.49894844778725145</t>
  </si>
  <si>
    <t>0.5445241250823502</t>
  </si>
  <si>
    <t>-0.018809804473066884</t>
  </si>
  <si>
    <t>-3.496E-15</t>
  </si>
  <si>
    <t>12.882096847816914</t>
  </si>
  <si>
    <t>0.29566811894437983</t>
  </si>
  <si>
    <t>-0.14456642751629023</t>
  </si>
  <si>
    <t>-0.5080552723775453</t>
  </si>
  <si>
    <t>0.7362363816067858</t>
  </si>
  <si>
    <t>1.6168876705059212</t>
  </si>
  <si>
    <t>0.6257962254191949</t>
  </si>
  <si>
    <t>0.26452869461331213</t>
  </si>
  <si>
    <t>0.2674235204764103</t>
  </si>
  <si>
    <t>-0.04376762941886242</t>
  </si>
  <si>
    <t>0.4426690422533157</t>
  </si>
  <si>
    <t>1.0778465371175865</t>
  </si>
  <si>
    <t>3.35770497075988</t>
  </si>
  <si>
    <t>0.3859864868090207</t>
  </si>
  <si>
    <t>0.7188343006851197</t>
  </si>
  <si>
    <t>0.0680849192311629</t>
  </si>
  <si>
    <t>1.0709889333194376</t>
  </si>
  <si>
    <t>0.035319302501464866</t>
  </si>
  <si>
    <t>0.7659147676795712</t>
  </si>
  <si>
    <t>14.52106610299738</t>
  </si>
  <si>
    <t>0.3825724173297194</t>
  </si>
  <si>
    <t>3.430168072079407</t>
  </si>
  <si>
    <t>6.272595268045024</t>
  </si>
  <si>
    <t>0.13772803916024942</t>
  </si>
  <si>
    <t>0.12533782537197763</t>
  </si>
  <si>
    <t>2.2214988300849114</t>
  </si>
  <si>
    <t>-0.08913054211418268</t>
  </si>
  <si>
    <t>2.2574894419404297</t>
  </si>
  <si>
    <t>0.03353595912483892</t>
  </si>
  <si>
    <t>-2.0166E-14</t>
  </si>
  <si>
    <t>40.3263619566296</t>
  </si>
  <si>
    <t>0.5906695650657026</t>
  </si>
  <si>
    <t>0.0355872581955668</t>
  </si>
  <si>
    <t>-0.20137343213619877</t>
  </si>
  <si>
    <t>0.27920164140616915</t>
  </si>
  <si>
    <t>1.7144459353337669</t>
  </si>
  <si>
    <t>1.739930355913051</t>
  </si>
  <si>
    <t>0.5667498253451325</t>
  </si>
  <si>
    <t>0.0757446421213903</t>
  </si>
  <si>
    <t>0.06671108991417672</t>
  </si>
  <si>
    <t>0.2233175900153949</t>
  </si>
  <si>
    <t>0.9597040728169361</t>
  </si>
  <si>
    <t>9.83750050157666</t>
  </si>
  <si>
    <t>1.531231161050701</t>
  </si>
  <si>
    <t>0.3255905809131196</t>
  </si>
  <si>
    <t>0.03760884100986264</t>
  </si>
  <si>
    <t>0.8227597207765445</t>
  </si>
  <si>
    <t>LIGT1;LIGT3</t>
  </si>
  <si>
    <t>RIGHT; RIGHT_REINVEST</t>
  </si>
  <si>
    <t>-0.036723820255544284</t>
  </si>
  <si>
    <t>ABCB4;AURE3;AXIA7;BBAS3;BBDC4;BBSE3;BMGB4;BRSR6;CMIG4;COCE5;CPFE3;CPLE3;CSMG3;ELET3;EQTL3;IRBR3;ITUB4;LIGT1;LIGT3;PSSA3;SANB4;SAPR4;SBSP3;TAEE4;TBLE3;TIMS3;TRPL4;VIVT3;XPBR31</t>
  </si>
  <si>
    <t>DISTRIBUTION; REDEMPTION; RIGHT; RIGHT_REINVEST; resgate: principal e retorno posterior preservados na origem</t>
  </si>
  <si>
    <t>0.7880484593799035</t>
  </si>
  <si>
    <t>0.3950042584683062</t>
  </si>
  <si>
    <t>-0.053133989820240604</t>
  </si>
  <si>
    <t>-0.026927447985937138</t>
  </si>
  <si>
    <t>3.602860153840474</t>
  </si>
  <si>
    <t>0.3504634598649447</t>
  </si>
  <si>
    <t>0.13668402522877265</t>
  </si>
  <si>
    <t>0.2968362770886378</t>
  </si>
  <si>
    <t>0.8155783121013381</t>
  </si>
  <si>
    <t>0.915322816219865</t>
  </si>
  <si>
    <t>-0.034428776149780876</t>
  </si>
  <si>
    <t>5.012E-15</t>
  </si>
  <si>
    <t>25.75496307729872</t>
  </si>
  <si>
    <t>BH padrão — atribuição realizada</t>
  </si>
  <si>
    <t>ATRIBUIÇÃO PRONTA REUTILIZADA; descendente no ciclo pertence à origem</t>
  </si>
  <si>
    <t>1.3285665252818517</t>
  </si>
  <si>
    <t>bh_issuer_annual_pct.csv;bh_june_positions.csv</t>
  </si>
  <si>
    <t>CCRO3</t>
  </si>
  <si>
    <t>-1.6468534904980139</t>
  </si>
  <si>
    <t>-2.2785301687152524</t>
  </si>
  <si>
    <t>HYPE3</t>
  </si>
  <si>
    <t>2.194805194805194</t>
  </si>
  <si>
    <t>1.4143990273186495</t>
  </si>
  <si>
    <t>RADL3</t>
  </si>
  <si>
    <t>15.401390848254138</t>
  </si>
  <si>
    <t>1.1731190710578099</t>
  </si>
  <si>
    <t>WEGE3</t>
  </si>
  <si>
    <t>4.715179527555008</t>
  </si>
  <si>
    <t>-6.8E-15</t>
  </si>
  <si>
    <t>22.302076535059378</t>
  </si>
  <si>
    <t>0.3348686608117067</t>
  </si>
  <si>
    <t>1.7912526199305512</t>
  </si>
  <si>
    <t>-2.8123007148349712</t>
  </si>
  <si>
    <t>0.4797187539296692</t>
  </si>
  <si>
    <t>0.30794526445262366</t>
  </si>
  <si>
    <t>13.541784655610362</t>
  </si>
  <si>
    <t>1.81096678368168</t>
  </si>
  <si>
    <t>-3.6504148442965194</t>
  </si>
  <si>
    <t>9.84E-15</t>
  </si>
  <si>
    <t>11.803821179285112</t>
  </si>
  <si>
    <t>2.901857394597564</t>
  </si>
  <si>
    <t>0.43111538059960824</t>
  </si>
  <si>
    <t>0.9271115306110002</t>
  </si>
  <si>
    <t>2.5713144119581375</t>
  </si>
  <si>
    <t>4.195045979155031</t>
  </si>
  <si>
    <t>3.93896222800668</t>
  </si>
  <si>
    <t>-0.6853390725247333</t>
  </si>
  <si>
    <t>2.9124122302829956</t>
  </si>
  <si>
    <t>1.876E-14</t>
  </si>
  <si>
    <t>17.192480082686302</t>
  </si>
  <si>
    <t>1.0319752728001697</t>
  </si>
  <si>
    <t>-3.2067058300900757</t>
  </si>
  <si>
    <t>CMIG2</t>
  </si>
  <si>
    <t>-0.07210385404295676</t>
  </si>
  <si>
    <t>0.2879452345371563</t>
  </si>
  <si>
    <t>2.0447246900185645</t>
  </si>
  <si>
    <t>-1.4006102173099055</t>
  </si>
  <si>
    <t>0.9245493333532082</t>
  </si>
  <si>
    <t>2.236592469218702</t>
  </si>
  <si>
    <t>-1.594E-14</t>
  </si>
  <si>
    <t>1.8463670984848468</t>
  </si>
  <si>
    <t>9.014106086204011</t>
  </si>
  <si>
    <t>2.271755520682815</t>
  </si>
  <si>
    <t>5.457408499052322</t>
  </si>
  <si>
    <t>1.2769279886952516</t>
  </si>
  <si>
    <t>6.376430192597028</t>
  </si>
  <si>
    <t>4.588058921894466</t>
  </si>
  <si>
    <t>7.41967198638266</t>
  </si>
  <si>
    <t>4.2279437411598915</t>
  </si>
  <si>
    <t>2.49E-14</t>
  </si>
  <si>
    <t>40.63230293666847</t>
  </si>
  <si>
    <t>-5.405065186002801</t>
  </si>
  <si>
    <t>0.6161662502288021</t>
  </si>
  <si>
    <t>-1.7833179281004086</t>
  </si>
  <si>
    <t>1.4818578004599072</t>
  </si>
  <si>
    <t>-3.7419599638295624</t>
  </si>
  <si>
    <t>11.111679092279106</t>
  </si>
  <si>
    <t>0.005570100642700581</t>
  </si>
  <si>
    <t>16.628380579481856</t>
  </si>
  <si>
    <t>6.119E-15</t>
  </si>
  <si>
    <t>18.913310745159606</t>
  </si>
  <si>
    <t>3.2712881848853073</t>
  </si>
  <si>
    <t>-0.2589949734867133</t>
  </si>
  <si>
    <t>1.879256381631407</t>
  </si>
  <si>
    <t>0.5785447074646143</t>
  </si>
  <si>
    <t>1.8343547446468509</t>
  </si>
  <si>
    <t>3.6069988967890976</t>
  </si>
  <si>
    <t>-0.1528784914754802</t>
  </si>
  <si>
    <t>8.207410958476473</t>
  </si>
  <si>
    <t>3.4E-15</t>
  </si>
  <si>
    <t>18.96598040893156</t>
  </si>
  <si>
    <t>-2.1371983123642444</t>
  </si>
  <si>
    <t>-0.2241503614737044</t>
  </si>
  <si>
    <t>1.3214852877286805</t>
  </si>
  <si>
    <t>1.2530934015438948</t>
  </si>
  <si>
    <t>-1.3707768786529864</t>
  </si>
  <si>
    <t>-6.019566180671318</t>
  </si>
  <si>
    <t>1.0717766500647035</t>
  </si>
  <si>
    <t>-5.479663842106209</t>
  </si>
  <si>
    <t>-3.6E-15</t>
  </si>
  <si>
    <t>-11.585000235931187</t>
  </si>
  <si>
    <t>BH sem rebalanceamento; XP separado quando já detido no início</t>
  </si>
  <si>
    <t>0.1796184082843204</t>
  </si>
  <si>
    <t>0.6372287224685222</t>
  </si>
  <si>
    <t>2.6118552611368635</t>
  </si>
  <si>
    <t>2.497841051133136</t>
  </si>
  <si>
    <t>2.70665493131594</t>
  </si>
  <si>
    <t>15.427767396120082</t>
  </si>
  <si>
    <t>2.164760010068496</t>
  </si>
  <si>
    <t>11.000312479430445</t>
  </si>
  <si>
    <t>0.14649717220530087</t>
  </si>
  <si>
    <t>2.003E-14</t>
  </si>
  <si>
    <t>37.372535432163126</t>
  </si>
  <si>
    <t>-1.1205658460968575</t>
  </si>
  <si>
    <t>-0.5082325385436418</t>
  </si>
  <si>
    <t>0.447805829059565</t>
  </si>
  <si>
    <t>-3.326141174349434</t>
  </si>
  <si>
    <t>1.786515240776348</t>
  </si>
  <si>
    <t>-3.5848538187816716</t>
  </si>
  <si>
    <t>0.2348463783407251</t>
  </si>
  <si>
    <t>3.514883252089474</t>
  </si>
  <si>
    <t>-0.05206093863685229</t>
  </si>
  <si>
    <t>-6.1E-16</t>
  </si>
  <si>
    <t>-2.6078036161423457</t>
  </si>
  <si>
    <t>2.4483119456459144</t>
  </si>
  <si>
    <t>0.6694328559847276</t>
  </si>
  <si>
    <t>1.7786032206128282</t>
  </si>
  <si>
    <t>-0.011551591752390473</t>
  </si>
  <si>
    <t>3.561512395486305</t>
  </si>
  <si>
    <t>-10.563622159114276</t>
  </si>
  <si>
    <t>0.8336075281413857</t>
  </si>
  <si>
    <t>0.9854265183884473</t>
  </si>
  <si>
    <t>0.11152191250701896</t>
  </si>
  <si>
    <t>6.513E-15</t>
  </si>
  <si>
    <t>-0.1867573741000328</t>
  </si>
  <si>
    <t>1.3053246681287165</t>
  </si>
  <si>
    <t>0.33956441730963777</t>
  </si>
  <si>
    <t>0.7082433279523542</t>
  </si>
  <si>
    <t>-1.2498558144434944</t>
  </si>
  <si>
    <t>3.8465696478838485</t>
  </si>
  <si>
    <t>2.477534523195753</t>
  </si>
  <si>
    <t>1.278051439609502</t>
  </si>
  <si>
    <t>4.063035352939967</t>
  </si>
  <si>
    <t>-0.16096155658488065</t>
  </si>
  <si>
    <t>-1.792E-14</t>
  </si>
  <si>
    <t>12.607506005991386</t>
  </si>
  <si>
    <t>Carteira</t>
  </si>
  <si>
    <t>Ações iniciais</t>
  </si>
  <si>
    <t>Retorno publicado (%)</t>
  </si>
  <si>
    <t>Contribuições das ações (p.p.)</t>
  </si>
  <si>
    <t>Resíduo numérico (p.p.)</t>
  </si>
  <si>
    <t>Soma conciliada (p.p.)</t>
  </si>
  <si>
    <t>Diferença (p.p.)</t>
  </si>
  <si>
    <t>Maior positiva</t>
  </si>
  <si>
    <t>Contribuição positiva (p.p.)</t>
  </si>
  <si>
    <t>Maior negativa</t>
  </si>
  <si>
    <t>Contribuição negativa (p.p.)</t>
  </si>
  <si>
    <t>portfolio</t>
  </si>
  <si>
    <t>closing_june</t>
  </si>
  <si>
    <t>start</t>
  </si>
  <si>
    <t>end</t>
  </si>
  <si>
    <t>date</t>
  </si>
  <si>
    <t>event_id</t>
  </si>
  <si>
    <t>origin_ticker</t>
  </si>
  <si>
    <t>redeemed_ticker</t>
  </si>
  <si>
    <t>recipient_ticker</t>
  </si>
  <si>
    <t>recipient_weight</t>
  </si>
  <si>
    <t>redeemed_index_component</t>
  </si>
  <si>
    <t>transferred_index_component</t>
  </si>
  <si>
    <t>added_index_units</t>
  </si>
  <si>
    <t>source</t>
  </si>
  <si>
    <t>2023-06-30</t>
  </si>
  <si>
    <t>2024-06-28</t>
  </si>
  <si>
    <t>2023-09-13</t>
  </si>
  <si>
    <t>EDP_REDEMPTION_20230913</t>
  </si>
  <si>
    <t>originals/edp_redemption_2023.bin.gz</t>
  </si>
  <si>
    <t>2025-06-30</t>
  </si>
  <si>
    <t>2026-06-30</t>
  </si>
  <si>
    <t>2026-05-15</t>
  </si>
  <si>
    <t>NEOE_REDEMPTION_20260515</t>
  </si>
  <si>
    <t>Issuer notice dated 2026-05-13 https://investidor10.com.br/acoes/link_comunicado/NEOE3/42178/</t>
  </si>
  <si>
    <t>Escopo</t>
  </si>
  <si>
    <t>Atribuição realizada das quatro carteiras congeladas em cb3db59. Nenhum backtest, seleção ou revisão executado pelo gerador de atribuição.</t>
  </si>
  <si>
    <t>Fronteira temporal</t>
  </si>
  <si>
    <t>Após a revisão do junho inicial até antes da revisão do junho final, nas datas efetivas de pregão dos CSVs.</t>
  </si>
  <si>
    <t>Contribuição</t>
  </si>
  <si>
    <t>100 × (componente final da exposição de origem − componente inicial) / índice inicial da carteira. Retorno da exposição = 100 × (final/inicial − 1).</t>
  </si>
  <si>
    <t>Unidades</t>
  </si>
  <si>
    <t>Componentes e unidades de índice são adimensionais. Não representam dinheiro, caixa, aportes ou impostos.</t>
  </si>
  <si>
    <t>Cisões, direitos e sucessões</t>
  </si>
  <si>
    <t>Durante o ciclo permanecem na origem que adquiriu o direito. Se o descendente já está fisicamente na carteira no junho inicial seguinte, passa a ter linha própria.</t>
  </si>
  <si>
    <t>Resgates compulsórios</t>
  </si>
  <si>
    <t>Principal transferido não é rendimento. A origem resgatada passa a acompanhar uma fração da cesta sobrevivente; o retorno subsequente permanece nessa origem até o fim do ciclo.</t>
  </si>
  <si>
    <t>Peso final</t>
  </si>
  <si>
    <t>Peso dos descendentes da exposição inicial antes da revisão. Em resgate pode ser uma cesta de vários papéis, detalhada em attribution_end_lineage.csv.</t>
  </si>
  <si>
    <t>Eventos</t>
  </si>
  <si>
    <t>Somente eventos do livro congelado. attribution_event_lineage.csv detalha unidades por origem e data. Não há novas pesquisas ou alterações nos proventos.</t>
  </si>
  <si>
    <t>Precisão</t>
  </si>
  <si>
    <t>Os CSVs conciliam exatamente com os decimais originais. Resíduo numérico explícito de ponto flutuante limitado a 1e-9 p.p.; valores efetivos no resumo. Excel usa até 15 algarismos significativos.</t>
  </si>
  <si>
    <t>Aliases</t>
  </si>
  <si>
    <t>Tickers seguem os livros: EGIE3/TBLE3, DTEX3/DXCO3, RIAA3/GUAR3, ESTC3/YDUQ3, ISAE4/TRPL4, AXIA3/ELET3, MOTV3/CCRO3. São continuidades de identidade, não novas compras.</t>
  </si>
  <si>
    <t>Limitações</t>
  </si>
  <si>
    <t>Caso central qualificado, sem certificação PIT ou de total return plena. Mantidas as limitações históricas e sensibilidades publicadas no checkpoint cb3db59.</t>
  </si>
  <si>
    <t>Reprodução</t>
  </si>
  <si>
    <t>python -m pip install XlsxWriter==3.2.5; python scripts/stage1_attribution.py. O manifesto verifica 271 arquivos congelados e documenta hashes dos novos artefatos.</t>
  </si>
  <si>
    <t>Coordenador</t>
  </si>
  <si>
    <t>https://github.com/tneves95/b3-pipeline-data-and-backtest-framework/pull/3#issuecomment-6066153641</t>
  </si>
</sst>
</file>

<file path=xl/styles.xml><?xml version="1.0" encoding="utf-8"?>
<styleSheet xmlns="http://schemas.openxmlformats.org/spreadsheetml/2006/main">
  <numFmts count="4">
    <numFmt numFmtId="164" formatCode="0.000000&quot;%&quot;"/>
    <numFmt numFmtId="165" formatCode="0.000000000000000E+00"/>
    <numFmt numFmtId="166" formatCode="0.000000&quot; p.p.&quot;"/>
    <numFmt numFmtId="167" formatCode="0.000000"/>
  </numFmts>
  <fonts count="4">
    <font>
      <sz val="11"/>
      <color theme="1"/>
      <name val="Calibri"/>
      <family val="2"/>
      <scheme val="minor"/>
    </font>
    <font>
      <b/>
      <sz val="16"/>
      <color rgb="FF17365D"/>
      <name val="Calibri"/>
      <family val="2"/>
      <scheme val="minor"/>
    </font>
    <font>
      <sz val="11"/>
      <color rgb="FF444444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0" borderId="0" xfId="0" applyFont="1" applyAlignment="1">
      <alignment vertical="top" wrapText="1"/>
    </xf>
    <xf numFmtId="166" fontId="0" fillId="0" borderId="0" xfId="0" applyNumberFormat="1"/>
    <xf numFmtId="167" fontId="3" fillId="2" borderId="0" xfId="0" applyNumberFormat="1" applyFont="1" applyFill="1"/>
  </cellXfs>
  <cellStyles count="1">
    <cellStyle name="Normal" xfId="0" builtinId="0"/>
  </cellStyles>
  <dxfs count="2">
    <dxf>
      <font>
        <color rgb="FF006100"/>
      </font>
    </dxf>
    <dxf>
      <font>
        <color rgb="FF9C0006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sumoAnual" displayName="ResumoAnual" ref="A5:I17" totalsRowShown="0">
  <autoFilter ref="A5:I17"/>
  <tableColumns count="9">
    <tableColumn id="1" name="Fechamento"/>
    <tableColumn id="2" name="Ciclo"/>
    <tableColumn id="3" name="R03 B2"/>
    <tableColumn id="4" name="B00S B2"/>
    <tableColumn id="5" name="B00S BH+entradas"/>
    <tableColumn id="6" name="BH padrão"/>
    <tableColumn id="7" name="IBOV (%)"/>
    <tableColumn id="8" name="Conciliações exatas"/>
    <tableColumn id="9" name="Maior resíduo numérico (p.p.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5:P126" totalsRowShown="0">
  <autoFilter ref="A5:P126"/>
  <tableColumns count="16">
    <tableColumn id="1" name="Fechamento"/>
    <tableColumn id="2" name="Ciclo anterior"/>
    <tableColumn id="3" name="Ticker no início (livro)"/>
    <tableColumn id="4" name="Sucessor / cisão / direito"/>
    <tableColumn id="5" name="Peso inicial (%)"/>
    <tableColumn id="6" name="Retorno bruto da exposição (%)"/>
    <tableColumn id="7" name="Contribuição (p.p.)"/>
    <tableColumn id="8" name="Peso final pré-revisão (%)"/>
    <tableColumn id="9" name="Evento / status / limitação"/>
    <tableColumn id="10" name="Destaque no ano"/>
    <tableColumn id="11" name="IBOV anual (%) — total"/>
    <tableColumn id="12" name="Tipo de linha"/>
    <tableColumn id="13" name="Contribuição decimal exata (texto)"/>
    <tableColumn id="14" name="Retorno publicado (%) — total"/>
    <tableColumn id="15" name="Diferença de conciliação (p.p.)"/>
    <tableColumn id="16" name="Fonte de posiçõ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5:P274" totalsRowShown="0">
  <autoFilter ref="A5:P274"/>
  <tableColumns count="16">
    <tableColumn id="1" name="Fechamento"/>
    <tableColumn id="2" name="Ciclo anterior"/>
    <tableColumn id="3" name="Ticker no início (livro)"/>
    <tableColumn id="4" name="Sucessor / cisão / direito"/>
    <tableColumn id="5" name="Peso inicial (%)"/>
    <tableColumn id="6" name="Retorno bruto da exposição (%)"/>
    <tableColumn id="7" name="Contribuição (p.p.)"/>
    <tableColumn id="8" name="Peso final pré-revisão (%)"/>
    <tableColumn id="9" name="Evento / status / limitação"/>
    <tableColumn id="10" name="Destaque no ano"/>
    <tableColumn id="11" name="IBOV anual (%) — total"/>
    <tableColumn id="12" name="Tipo de linha"/>
    <tableColumn id="13" name="Contribuição decimal exata (texto)"/>
    <tableColumn id="14" name="Retorno publicado (%) — total"/>
    <tableColumn id="15" name="Diferença de conciliação (p.p.)"/>
    <tableColumn id="16" name="Fonte de posiçõ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5:P316" totalsRowShown="0">
  <autoFilter ref="A5:P316"/>
  <tableColumns count="16">
    <tableColumn id="1" name="Fechamento"/>
    <tableColumn id="2" name="Ciclo anterior"/>
    <tableColumn id="3" name="Ticker no início (livro)"/>
    <tableColumn id="4" name="Sucessor / cisão / direito"/>
    <tableColumn id="5" name="Peso inicial (%)"/>
    <tableColumn id="6" name="Retorno bruto da exposição (%)"/>
    <tableColumn id="7" name="Contribuição (p.p.)"/>
    <tableColumn id="8" name="Peso final pré-revisão (%)"/>
    <tableColumn id="9" name="Evento / status / limitação"/>
    <tableColumn id="10" name="Destaque no ano"/>
    <tableColumn id="11" name="IBOV anual (%) — total"/>
    <tableColumn id="12" name="Tipo de linha"/>
    <tableColumn id="13" name="Contribuição decimal exata (texto)"/>
    <tableColumn id="14" name="Retorno publicado (%) — total"/>
    <tableColumn id="15" name="Diferença de conciliação (p.p.)"/>
    <tableColumn id="16" name="Fonte de posiçõ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:P129" totalsRowShown="0">
  <autoFilter ref="A5:P129"/>
  <tableColumns count="16">
    <tableColumn id="1" name="Fechamento"/>
    <tableColumn id="2" name="Ciclo anterior"/>
    <tableColumn id="3" name="Ticker no início (livro)"/>
    <tableColumn id="4" name="Sucessor / cisão / direito"/>
    <tableColumn id="5" name="Peso inicial (%)"/>
    <tableColumn id="6" name="Retorno bruto da exposição (%)"/>
    <tableColumn id="7" name="Contribuição (p.p.)"/>
    <tableColumn id="8" name="Peso final pré-revisão (%)"/>
    <tableColumn id="9" name="Evento / status / limitação"/>
    <tableColumn id="10" name="Destaque no ano"/>
    <tableColumn id="11" name="IBOV anual (%) — total"/>
    <tableColumn id="12" name="Tipo de linha"/>
    <tableColumn id="13" name="Contribuição decimal exata (texto)"/>
    <tableColumn id="14" name="Retorno publicado (%) — total"/>
    <tableColumn id="15" name="Diferença de conciliação (p.p.)"/>
    <tableColumn id="16" name="Fonte de posiçõ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nciliacoes" displayName="Conciliacoes" ref="A1:M49" totalsRowShown="0">
  <autoFilter ref="A1:M49"/>
  <tableColumns count="13">
    <tableColumn id="1" name="Fechamento"/>
    <tableColumn id="2" name="Carteira"/>
    <tableColumn id="3" name="Ações iniciais"/>
    <tableColumn id="4" name="Retorno publicado (%)"/>
    <tableColumn id="5" name="Contribuições das ações (p.p.)"/>
    <tableColumn id="6" name="Resíduo numérico (p.p.)"/>
    <tableColumn id="7" name="Soma conciliada (p.p.)"/>
    <tableColumn id="8" name="Diferença (p.p.)"/>
    <tableColumn id="9" name="IBOV (%)"/>
    <tableColumn id="10" name="Maior positiva"/>
    <tableColumn id="11" name="Contribuição positiva (p.p.)"/>
    <tableColumn id="12" name="Maior negativa"/>
    <tableColumn id="13" name="Contribuição negativa (p.p.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ransferencias" displayName="Transferencias" ref="A1:N99" totalsRowShown="0">
  <autoFilter ref="A1:N99"/>
  <tableColumns count="14">
    <tableColumn id="1" name="portfolio"/>
    <tableColumn id="2" name="closing_june"/>
    <tableColumn id="3" name="start"/>
    <tableColumn id="4" name="end"/>
    <tableColumn id="5" name="date"/>
    <tableColumn id="6" name="event_id"/>
    <tableColumn id="7" name="origin_ticker"/>
    <tableColumn id="8" name="redeemed_ticker"/>
    <tableColumn id="9" name="recipient_ticker"/>
    <tableColumn id="10" name="recipient_weight"/>
    <tableColumn id="11" name="redeemed_index_component"/>
    <tableColumn id="12" name="transferred_index_component"/>
    <tableColumn id="13" name="added_index_units"/>
    <tableColumn id="14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5.7109375" customWidth="1"/>
    <col min="2" max="2" width="24.7109375" customWidth="1"/>
    <col min="3" max="7" width="21.7109375" style="1" customWidth="1"/>
    <col min="8" max="8" width="22.7109375" customWidth="1"/>
    <col min="9" max="9" width="30.7109375" style="2" customWidth="1"/>
  </cols>
  <sheetData>
    <row r="1" spans="1:9">
      <c r="A1" s="3" t="s">
        <v>0</v>
      </c>
    </row>
    <row r="2" spans="1:9">
      <c r="A2" s="4" t="s">
        <v>1</v>
      </c>
      <c r="B2" s="4"/>
      <c r="C2" s="4"/>
      <c r="D2" s="4"/>
      <c r="E2" s="4"/>
      <c r="F2" s="4"/>
      <c r="G2" s="4"/>
      <c r="H2" s="4"/>
      <c r="I2" s="4"/>
    </row>
    <row r="3" spans="1:9">
      <c r="A3" s="4"/>
      <c r="B3" s="4"/>
      <c r="C3" s="4"/>
      <c r="D3" s="4"/>
      <c r="E3" s="4"/>
      <c r="F3" s="4"/>
      <c r="G3" s="4"/>
      <c r="H3" s="4"/>
      <c r="I3" s="4"/>
    </row>
    <row r="5" spans="1:9">
      <c r="A5" t="s">
        <v>2</v>
      </c>
      <c r="B5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t="s">
        <v>9</v>
      </c>
      <c r="I5" s="2" t="s">
        <v>10</v>
      </c>
    </row>
    <row r="6" spans="1:9">
      <c r="A6" t="s">
        <v>11</v>
      </c>
      <c r="B6" t="s">
        <v>12</v>
      </c>
      <c r="C6" s="1">
        <v>-45.06833294872517</v>
      </c>
      <c r="D6" s="1">
        <v>-1.045851934089492</v>
      </c>
      <c r="E6" s="1">
        <v>-1.045851934089492</v>
      </c>
      <c r="F6" s="1">
        <v>22.30207653505938</v>
      </c>
      <c r="G6" s="1">
        <v>-0.164271062676169</v>
      </c>
      <c r="H6" t="s">
        <v>13</v>
      </c>
      <c r="I6" s="2">
        <v>6.8E-15</v>
      </c>
    </row>
    <row r="7" spans="1:9">
      <c r="A7" t="s">
        <v>14</v>
      </c>
      <c r="B7" t="s">
        <v>15</v>
      </c>
      <c r="C7" s="1">
        <v>3.51981821516617</v>
      </c>
      <c r="D7" s="1">
        <v>2.08917533479267</v>
      </c>
      <c r="E7" s="1">
        <v>2.162059180759135</v>
      </c>
      <c r="F7" s="1">
        <v>11.80382117928511</v>
      </c>
      <c r="G7" s="1">
        <v>-2.927532474970274</v>
      </c>
      <c r="H7" t="s">
        <v>13</v>
      </c>
      <c r="I7" s="2">
        <v>1.741E-14</v>
      </c>
    </row>
    <row r="8" spans="1:9">
      <c r="A8" t="s">
        <v>16</v>
      </c>
      <c r="B8" t="s">
        <v>17</v>
      </c>
      <c r="C8" s="1">
        <v>33.72885185559355</v>
      </c>
      <c r="D8" s="1">
        <v>22.66819352877003</v>
      </c>
      <c r="E8" s="1">
        <v>23.27991173959898</v>
      </c>
      <c r="F8" s="1">
        <v>17.1924800826863</v>
      </c>
      <c r="G8" s="1">
        <v>22.07205476283078</v>
      </c>
      <c r="H8" t="s">
        <v>13</v>
      </c>
      <c r="I8" s="2">
        <v>2.6E-14</v>
      </c>
    </row>
    <row r="9" spans="1:9">
      <c r="A9" t="s">
        <v>18</v>
      </c>
      <c r="B9" t="s">
        <v>19</v>
      </c>
      <c r="C9" s="1">
        <v>3.80809875502448</v>
      </c>
      <c r="D9" s="1">
        <v>10.20218624125124</v>
      </c>
      <c r="E9" s="1">
        <v>8.611488456688821</v>
      </c>
      <c r="F9" s="1">
        <v>1.846367098484847</v>
      </c>
      <c r="G9" s="1">
        <v>15.67973720814175</v>
      </c>
      <c r="H9" t="s">
        <v>13</v>
      </c>
      <c r="I9" s="2">
        <v>1.594E-14</v>
      </c>
    </row>
    <row r="10" spans="1:9">
      <c r="A10" t="s">
        <v>20</v>
      </c>
      <c r="B10" t="s">
        <v>21</v>
      </c>
      <c r="C10" s="1">
        <v>66.31238484785895</v>
      </c>
      <c r="D10" s="1">
        <v>51.62762645155248</v>
      </c>
      <c r="E10" s="1">
        <v>52.54298170964476</v>
      </c>
      <c r="F10" s="1">
        <v>40.63230293666847</v>
      </c>
      <c r="G10" s="1">
        <v>38.76264868231611</v>
      </c>
      <c r="H10" t="s">
        <v>13</v>
      </c>
      <c r="I10" s="2">
        <v>2.49E-14</v>
      </c>
    </row>
    <row r="11" spans="1:9">
      <c r="A11" t="s">
        <v>22</v>
      </c>
      <c r="B11" t="s">
        <v>23</v>
      </c>
      <c r="C11" s="1">
        <v>17.03978327544608</v>
      </c>
      <c r="D11" s="1">
        <v>-5.587907671145553</v>
      </c>
      <c r="E11" s="1">
        <v>-5.836915805343268</v>
      </c>
      <c r="F11" s="1">
        <v>18.91331074515961</v>
      </c>
      <c r="G11" s="1">
        <v>-5.854752830622212</v>
      </c>
      <c r="H11" t="s">
        <v>13</v>
      </c>
      <c r="I11" s="2">
        <v>6.119E-15</v>
      </c>
    </row>
    <row r="12" spans="1:9">
      <c r="A12" t="s">
        <v>24</v>
      </c>
      <c r="B12" t="s">
        <v>25</v>
      </c>
      <c r="C12" s="1">
        <v>28.40417972348845</v>
      </c>
      <c r="D12" s="1">
        <v>-1.383317030085862</v>
      </c>
      <c r="E12" s="1">
        <v>-2.196488370717908</v>
      </c>
      <c r="F12" s="1">
        <v>18.96598040893156</v>
      </c>
      <c r="G12" s="1">
        <v>33.39705028056146</v>
      </c>
      <c r="H12" t="s">
        <v>13</v>
      </c>
      <c r="I12" s="2">
        <v>5.098E-15</v>
      </c>
    </row>
    <row r="13" spans="1:9">
      <c r="A13" t="s">
        <v>26</v>
      </c>
      <c r="B13" t="s">
        <v>27</v>
      </c>
      <c r="C13" s="1">
        <v>-12.97302277926805</v>
      </c>
      <c r="D13" s="1">
        <v>-3.552550931149756</v>
      </c>
      <c r="E13" s="1">
        <v>-5.454574716481952</v>
      </c>
      <c r="F13" s="1">
        <v>-11.58500023593119</v>
      </c>
      <c r="G13" s="1">
        <v>-22.28654577550484</v>
      </c>
      <c r="H13" t="s">
        <v>13</v>
      </c>
      <c r="I13" s="2">
        <v>7.822E-15</v>
      </c>
    </row>
    <row r="14" spans="1:9">
      <c r="A14" t="s">
        <v>28</v>
      </c>
      <c r="B14" t="s">
        <v>29</v>
      </c>
      <c r="C14" s="1">
        <v>45.34347835955088</v>
      </c>
      <c r="D14" s="1">
        <v>34.82169017834877</v>
      </c>
      <c r="E14" s="1">
        <v>35.63021358681821</v>
      </c>
      <c r="F14" s="1">
        <v>37.37253543216313</v>
      </c>
      <c r="G14" s="1">
        <v>19.83424318272573</v>
      </c>
      <c r="H14" t="s">
        <v>13</v>
      </c>
      <c r="I14" s="2">
        <v>2.0674E-14</v>
      </c>
    </row>
    <row r="15" spans="1:9">
      <c r="A15" t="s">
        <v>30</v>
      </c>
      <c r="B15" t="s">
        <v>31</v>
      </c>
      <c r="C15" s="1">
        <v>5.108316505773147</v>
      </c>
      <c r="D15" s="1">
        <v>14.70434716025268</v>
      </c>
      <c r="E15" s="1">
        <v>12.88209684781691</v>
      </c>
      <c r="F15" s="1">
        <v>-2.607803616142346</v>
      </c>
      <c r="G15" s="1">
        <v>4.928188538958578</v>
      </c>
      <c r="H15" t="s">
        <v>13</v>
      </c>
      <c r="I15" s="2">
        <v>3.496E-15</v>
      </c>
    </row>
    <row r="16" spans="1:9">
      <c r="A16" t="s">
        <v>32</v>
      </c>
      <c r="B16" t="s">
        <v>33</v>
      </c>
      <c r="C16" s="1">
        <v>27.84179038625139</v>
      </c>
      <c r="D16" s="1">
        <v>37.4777040274616</v>
      </c>
      <c r="E16" s="1">
        <v>40.3263619566296</v>
      </c>
      <c r="F16" s="1">
        <v>-0.1867573741000328</v>
      </c>
      <c r="G16" s="1">
        <v>12.06397079089039</v>
      </c>
      <c r="H16" t="s">
        <v>13</v>
      </c>
      <c r="I16" s="2">
        <v>2.0166E-14</v>
      </c>
    </row>
    <row r="17" spans="1:9">
      <c r="A17" t="s">
        <v>34</v>
      </c>
      <c r="B17" t="s">
        <v>35</v>
      </c>
      <c r="C17" s="1">
        <v>46.32243959101088</v>
      </c>
      <c r="D17" s="1">
        <v>27.01733157012001</v>
      </c>
      <c r="E17" s="1">
        <v>25.75496307729872</v>
      </c>
      <c r="F17" s="1">
        <v>12.60750600599139</v>
      </c>
      <c r="G17" s="1">
        <v>23.88795185755459</v>
      </c>
      <c r="H17" t="s">
        <v>13</v>
      </c>
      <c r="I17" s="2">
        <v>1.792E-14</v>
      </c>
    </row>
    <row r="20" spans="1:9">
      <c r="A20" s="4" t="s">
        <v>36</v>
      </c>
      <c r="B20" s="4"/>
      <c r="C20" s="4"/>
      <c r="D20" s="4"/>
      <c r="E20" s="4"/>
      <c r="F20" s="4"/>
      <c r="G20" s="4"/>
      <c r="H20" s="4"/>
      <c r="I20" s="4"/>
    </row>
    <row r="21" spans="1:9">
      <c r="A21" s="4"/>
      <c r="B21" s="4"/>
      <c r="C21" s="4"/>
      <c r="D21" s="4"/>
      <c r="E21" s="4"/>
      <c r="F21" s="4"/>
      <c r="G21" s="4"/>
      <c r="H21" s="4"/>
      <c r="I21" s="4"/>
    </row>
    <row r="22" spans="1:9">
      <c r="A22" s="4"/>
      <c r="B22" s="4"/>
      <c r="C22" s="4"/>
      <c r="D22" s="4"/>
      <c r="E22" s="4"/>
      <c r="F22" s="4"/>
      <c r="G22" s="4"/>
      <c r="H22" s="4"/>
      <c r="I22" s="4"/>
    </row>
  </sheetData>
  <mergeCells count="2">
    <mergeCell ref="A2:I3"/>
    <mergeCell ref="A20:I2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P126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5"/>
  <cols>
    <col min="1" max="1" width="14.7109375" customWidth="1"/>
    <col min="2" max="2" width="24.7109375" customWidth="1"/>
    <col min="3" max="3" width="23.7109375" customWidth="1"/>
    <col min="4" max="4" width="30.7109375" customWidth="1"/>
    <col min="5" max="8" width="23.7109375" customWidth="1"/>
    <col min="9" max="9" width="65.7109375" customWidth="1"/>
    <col min="10" max="12" width="23.7109375" customWidth="1"/>
    <col min="13" max="13" width="34.7109375" customWidth="1"/>
    <col min="14" max="15" width="27.7109375" customWidth="1"/>
    <col min="16" max="16" width="48.7109375" customWidth="1"/>
  </cols>
  <sheetData>
    <row r="1" spans="1:16">
      <c r="A1" s="3" t="s">
        <v>37</v>
      </c>
    </row>
    <row r="2" spans="1:16">
      <c r="A2" s="4" t="s">
        <v>38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5" spans="1:16">
      <c r="A5" t="s">
        <v>2</v>
      </c>
      <c r="B5" t="s">
        <v>223</v>
      </c>
      <c r="C5" t="s">
        <v>224</v>
      </c>
      <c r="D5" t="s">
        <v>225</v>
      </c>
      <c r="E5" t="s">
        <v>226</v>
      </c>
      <c r="F5" t="s">
        <v>227</v>
      </c>
      <c r="G5" t="s">
        <v>228</v>
      </c>
      <c r="H5" t="s">
        <v>229</v>
      </c>
      <c r="I5" t="s">
        <v>230</v>
      </c>
      <c r="J5" t="s">
        <v>231</v>
      </c>
      <c r="K5" t="s">
        <v>232</v>
      </c>
      <c r="L5" t="s">
        <v>233</v>
      </c>
      <c r="M5" t="s">
        <v>234</v>
      </c>
      <c r="N5" t="s">
        <v>235</v>
      </c>
      <c r="O5" t="s">
        <v>236</v>
      </c>
      <c r="P5" t="s">
        <v>237</v>
      </c>
    </row>
    <row r="6" spans="1:16">
      <c r="A6" t="s">
        <v>11</v>
      </c>
      <c r="B6" t="s">
        <v>12</v>
      </c>
      <c r="C6" t="s">
        <v>39</v>
      </c>
      <c r="E6" s="1">
        <v>16.66666666666666</v>
      </c>
      <c r="F6" s="1">
        <v>-16.53167606850089</v>
      </c>
      <c r="G6" s="5">
        <v>-2.755279344750148</v>
      </c>
      <c r="H6" s="1">
        <v>25.32489558150716</v>
      </c>
      <c r="I6" t="s">
        <v>40</v>
      </c>
      <c r="L6" t="s">
        <v>41</v>
      </c>
      <c r="M6" t="s">
        <v>42</v>
      </c>
      <c r="P6" t="s">
        <v>43</v>
      </c>
    </row>
    <row r="7" spans="1:16">
      <c r="A7" t="s">
        <v>11</v>
      </c>
      <c r="B7" t="s">
        <v>12</v>
      </c>
      <c r="C7" t="s">
        <v>44</v>
      </c>
      <c r="E7" s="1">
        <v>16.66666666666666</v>
      </c>
      <c r="F7" s="1">
        <v>-54.00794491641561</v>
      </c>
      <c r="G7" s="5">
        <v>-9.001324152735933</v>
      </c>
      <c r="H7" s="1">
        <v>13.95432348116375</v>
      </c>
      <c r="I7" t="s">
        <v>40</v>
      </c>
      <c r="J7" t="s">
        <v>45</v>
      </c>
      <c r="L7" t="s">
        <v>41</v>
      </c>
      <c r="M7" t="s">
        <v>46</v>
      </c>
      <c r="P7" t="s">
        <v>43</v>
      </c>
    </row>
    <row r="8" spans="1:16">
      <c r="A8" t="s">
        <v>11</v>
      </c>
      <c r="B8" t="s">
        <v>12</v>
      </c>
      <c r="C8" t="s">
        <v>47</v>
      </c>
      <c r="E8" s="1">
        <v>16.66666666666666</v>
      </c>
      <c r="F8" s="1">
        <v>-34.11692354550554</v>
      </c>
      <c r="G8" s="5">
        <v>-5.686153924250923</v>
      </c>
      <c r="H8" s="1">
        <v>19.98940380266671</v>
      </c>
      <c r="I8" t="s">
        <v>40</v>
      </c>
      <c r="L8" t="s">
        <v>41</v>
      </c>
      <c r="M8" t="s">
        <v>48</v>
      </c>
      <c r="P8" t="s">
        <v>43</v>
      </c>
    </row>
    <row r="9" spans="1:16">
      <c r="A9" t="s">
        <v>11</v>
      </c>
      <c r="B9" t="s">
        <v>12</v>
      </c>
      <c r="C9" t="s">
        <v>49</v>
      </c>
      <c r="E9" s="1">
        <v>16.66666666666666</v>
      </c>
      <c r="F9" s="1">
        <v>-66.61093521685572</v>
      </c>
      <c r="G9" s="5">
        <v>-11.10182253614262</v>
      </c>
      <c r="H9" s="1">
        <v>10.13048470808224</v>
      </c>
      <c r="I9" t="s">
        <v>40</v>
      </c>
      <c r="J9" t="s">
        <v>50</v>
      </c>
      <c r="L9" t="s">
        <v>41</v>
      </c>
      <c r="M9" t="s">
        <v>51</v>
      </c>
      <c r="P9" t="s">
        <v>43</v>
      </c>
    </row>
    <row r="10" spans="1:16">
      <c r="A10" t="s">
        <v>11</v>
      </c>
      <c r="B10" t="s">
        <v>12</v>
      </c>
      <c r="C10" t="s">
        <v>52</v>
      </c>
      <c r="E10" s="1">
        <v>16.66666666666666</v>
      </c>
      <c r="F10" s="1">
        <v>-51.235447155621</v>
      </c>
      <c r="G10" s="5">
        <v>-8.5392411926035</v>
      </c>
      <c r="H10" s="1">
        <v>14.79551943413039</v>
      </c>
      <c r="I10" t="s">
        <v>40</v>
      </c>
      <c r="J10" t="s">
        <v>53</v>
      </c>
      <c r="L10" t="s">
        <v>41</v>
      </c>
      <c r="M10" t="s">
        <v>54</v>
      </c>
      <c r="P10" t="s">
        <v>43</v>
      </c>
    </row>
    <row r="11" spans="1:16">
      <c r="A11" t="s">
        <v>11</v>
      </c>
      <c r="B11" t="s">
        <v>12</v>
      </c>
      <c r="C11" t="s">
        <v>55</v>
      </c>
      <c r="E11" s="1">
        <v>16.66666666666666</v>
      </c>
      <c r="F11" s="1">
        <v>-47.90707078945233</v>
      </c>
      <c r="G11" s="5">
        <v>-7.984511798242054</v>
      </c>
      <c r="H11" s="1">
        <v>15.80537299244976</v>
      </c>
      <c r="I11" t="s">
        <v>40</v>
      </c>
      <c r="L11" t="s">
        <v>41</v>
      </c>
      <c r="M11" t="s">
        <v>56</v>
      </c>
      <c r="P11" t="s">
        <v>43</v>
      </c>
    </row>
    <row r="12" spans="1:16">
      <c r="A12" t="s">
        <v>11</v>
      </c>
      <c r="B12" t="s">
        <v>12</v>
      </c>
      <c r="G12" s="2">
        <v>5E-15</v>
      </c>
      <c r="I12" t="s">
        <v>57</v>
      </c>
      <c r="L12" t="s">
        <v>58</v>
      </c>
      <c r="M12" t="s">
        <v>59</v>
      </c>
      <c r="P12" t="s">
        <v>60</v>
      </c>
    </row>
    <row r="13" spans="1:16">
      <c r="A13" t="s">
        <v>11</v>
      </c>
      <c r="B13" t="s">
        <v>12</v>
      </c>
      <c r="C13" t="s">
        <v>61</v>
      </c>
      <c r="G13" s="6">
        <f>SUM(G6:G12)</f>
        <v>-45.06833294872517</v>
      </c>
      <c r="I13" t="s">
        <v>64</v>
      </c>
      <c r="K13" s="1">
        <v>-0.164271062676169</v>
      </c>
      <c r="L13" t="s">
        <v>62</v>
      </c>
      <c r="M13" t="s">
        <v>63</v>
      </c>
      <c r="N13" s="1">
        <v>-45.06833294872517</v>
      </c>
      <c r="O13" s="2">
        <f>G13-N13</f>
        <v>0</v>
      </c>
    </row>
    <row r="14" spans="1:16">
      <c r="A14" t="s">
        <v>14</v>
      </c>
      <c r="B14" t="s">
        <v>15</v>
      </c>
      <c r="C14" t="s">
        <v>65</v>
      </c>
      <c r="E14" s="1">
        <v>11.11111111111111</v>
      </c>
      <c r="F14" s="1">
        <v>-1.203643877550131</v>
      </c>
      <c r="G14" s="5">
        <v>-0.1337382086166812</v>
      </c>
      <c r="H14" s="1">
        <v>10.60412691189037</v>
      </c>
      <c r="I14" t="s">
        <v>40</v>
      </c>
      <c r="L14" t="s">
        <v>41</v>
      </c>
      <c r="M14" t="s">
        <v>66</v>
      </c>
      <c r="P14" t="s">
        <v>43</v>
      </c>
    </row>
    <row r="15" spans="1:16">
      <c r="A15" t="s">
        <v>14</v>
      </c>
      <c r="B15" t="s">
        <v>15</v>
      </c>
      <c r="C15" t="s">
        <v>44</v>
      </c>
      <c r="E15" s="1">
        <v>10.55365700296904</v>
      </c>
      <c r="F15" s="1">
        <v>15.52695165108409</v>
      </c>
      <c r="G15" s="5">
        <v>1.638661220272253</v>
      </c>
      <c r="H15" s="1">
        <v>11.77776239705091</v>
      </c>
      <c r="I15" t="s">
        <v>40</v>
      </c>
      <c r="L15" t="s">
        <v>41</v>
      </c>
      <c r="M15" t="s">
        <v>67</v>
      </c>
      <c r="P15" t="s">
        <v>43</v>
      </c>
    </row>
    <row r="16" spans="1:16">
      <c r="A16" t="s">
        <v>14</v>
      </c>
      <c r="B16" t="s">
        <v>15</v>
      </c>
      <c r="C16" t="s">
        <v>68</v>
      </c>
      <c r="E16" s="1">
        <v>11.11111111111111</v>
      </c>
      <c r="F16" s="1">
        <v>23.3295274392348</v>
      </c>
      <c r="G16" s="5">
        <v>2.592169715470533</v>
      </c>
      <c r="H16" s="1">
        <v>13.23735016429351</v>
      </c>
      <c r="I16" t="s">
        <v>40</v>
      </c>
      <c r="J16" t="s">
        <v>69</v>
      </c>
      <c r="L16" t="s">
        <v>41</v>
      </c>
      <c r="M16" t="s">
        <v>70</v>
      </c>
      <c r="P16" t="s">
        <v>43</v>
      </c>
    </row>
    <row r="17" spans="1:16">
      <c r="A17" t="s">
        <v>14</v>
      </c>
      <c r="B17" t="s">
        <v>15</v>
      </c>
      <c r="C17" t="s">
        <v>47</v>
      </c>
      <c r="E17" s="1">
        <v>15.11798918177264</v>
      </c>
      <c r="F17" s="1">
        <v>17.5395655245773</v>
      </c>
      <c r="G17" s="5">
        <v>2.65162961853552</v>
      </c>
      <c r="H17" s="1">
        <v>17.16542697493341</v>
      </c>
      <c r="I17" t="s">
        <v>40</v>
      </c>
      <c r="J17" t="s">
        <v>71</v>
      </c>
      <c r="L17" t="s">
        <v>41</v>
      </c>
      <c r="M17" t="s">
        <v>72</v>
      </c>
      <c r="P17" t="s">
        <v>43</v>
      </c>
    </row>
    <row r="18" spans="1:16">
      <c r="A18" t="s">
        <v>14</v>
      </c>
      <c r="B18" t="s">
        <v>15</v>
      </c>
      <c r="C18" t="s">
        <v>73</v>
      </c>
      <c r="E18" s="1">
        <v>11.11111111111111</v>
      </c>
      <c r="F18" s="1">
        <v>4.096600121368965</v>
      </c>
      <c r="G18" s="5">
        <v>0.4551777912632183</v>
      </c>
      <c r="H18" s="1">
        <v>11.17301894631786</v>
      </c>
      <c r="I18" t="s">
        <v>40</v>
      </c>
      <c r="L18" t="s">
        <v>41</v>
      </c>
      <c r="M18" t="s">
        <v>74</v>
      </c>
      <c r="P18" t="s">
        <v>43</v>
      </c>
    </row>
    <row r="19" spans="1:16">
      <c r="A19" t="s">
        <v>14</v>
      </c>
      <c r="B19" t="s">
        <v>15</v>
      </c>
      <c r="C19" t="s">
        <v>75</v>
      </c>
      <c r="E19" s="1">
        <v>11.11111111111111</v>
      </c>
      <c r="F19" s="1">
        <v>-7.327605828761518</v>
      </c>
      <c r="G19" s="5">
        <v>-0.8141784254179464</v>
      </c>
      <c r="H19" s="1">
        <v>9.946822611580487</v>
      </c>
      <c r="I19" t="s">
        <v>40</v>
      </c>
      <c r="J19" t="s">
        <v>53</v>
      </c>
      <c r="L19" t="s">
        <v>41</v>
      </c>
      <c r="M19" t="s">
        <v>76</v>
      </c>
      <c r="P19" t="s">
        <v>43</v>
      </c>
    </row>
    <row r="20" spans="1:16">
      <c r="A20" t="s">
        <v>14</v>
      </c>
      <c r="B20" t="s">
        <v>15</v>
      </c>
      <c r="C20" t="s">
        <v>49</v>
      </c>
      <c r="E20" s="1">
        <v>7.661687148591649</v>
      </c>
      <c r="F20" s="1">
        <v>-28.26875059186825</v>
      </c>
      <c r="G20" s="5">
        <v>-2.165863231164596</v>
      </c>
      <c r="H20" s="1">
        <v>5.308958238319132</v>
      </c>
      <c r="I20" t="s">
        <v>40</v>
      </c>
      <c r="J20" t="s">
        <v>45</v>
      </c>
      <c r="L20" t="s">
        <v>41</v>
      </c>
      <c r="M20" t="s">
        <v>77</v>
      </c>
      <c r="P20" t="s">
        <v>43</v>
      </c>
    </row>
    <row r="21" spans="1:16">
      <c r="A21" t="s">
        <v>14</v>
      </c>
      <c r="B21" t="s">
        <v>15</v>
      </c>
      <c r="C21" t="s">
        <v>78</v>
      </c>
      <c r="E21" s="1">
        <v>11.11111111111111</v>
      </c>
      <c r="F21" s="1">
        <v>30.10808205785926</v>
      </c>
      <c r="G21" s="5">
        <v>3.345342450873251</v>
      </c>
      <c r="H21" s="1">
        <v>13.96491397612058</v>
      </c>
      <c r="I21" t="s">
        <v>40</v>
      </c>
      <c r="J21" t="s">
        <v>79</v>
      </c>
      <c r="L21" t="s">
        <v>41</v>
      </c>
      <c r="M21" t="s">
        <v>80</v>
      </c>
      <c r="P21" t="s">
        <v>43</v>
      </c>
    </row>
    <row r="22" spans="1:16">
      <c r="A22" t="s">
        <v>14</v>
      </c>
      <c r="B22" t="s">
        <v>15</v>
      </c>
      <c r="C22" t="s">
        <v>81</v>
      </c>
      <c r="E22" s="1">
        <v>11.11111111111111</v>
      </c>
      <c r="F22" s="1">
        <v>-36.44444444444444</v>
      </c>
      <c r="G22" s="5">
        <v>-4.049382716049382</v>
      </c>
      <c r="H22" s="1">
        <v>6.821619779493729</v>
      </c>
      <c r="I22" t="s">
        <v>40</v>
      </c>
      <c r="J22" t="s">
        <v>50</v>
      </c>
      <c r="L22" t="s">
        <v>41</v>
      </c>
      <c r="M22" t="s">
        <v>82</v>
      </c>
      <c r="P22" t="s">
        <v>43</v>
      </c>
    </row>
    <row r="23" spans="1:16">
      <c r="A23" t="s">
        <v>14</v>
      </c>
      <c r="B23" t="s">
        <v>15</v>
      </c>
      <c r="G23" s="2">
        <v>2.3E-16</v>
      </c>
      <c r="I23" t="s">
        <v>57</v>
      </c>
      <c r="L23" t="s">
        <v>58</v>
      </c>
      <c r="M23" t="s">
        <v>83</v>
      </c>
      <c r="P23" t="s">
        <v>60</v>
      </c>
    </row>
    <row r="24" spans="1:16">
      <c r="A24" t="s">
        <v>14</v>
      </c>
      <c r="B24" t="s">
        <v>15</v>
      </c>
      <c r="C24" t="s">
        <v>61</v>
      </c>
      <c r="G24" s="6">
        <f>SUM(G14:G23)</f>
        <v>3.5198182151661697</v>
      </c>
      <c r="I24" t="s">
        <v>64</v>
      </c>
      <c r="K24" s="1">
        <v>-2.927532474970274</v>
      </c>
      <c r="L24" t="s">
        <v>62</v>
      </c>
      <c r="M24" t="s">
        <v>84</v>
      </c>
      <c r="N24" s="1">
        <v>3.51981821516617</v>
      </c>
      <c r="O24" s="2">
        <f>G24-N24</f>
        <v>0</v>
      </c>
    </row>
    <row r="25" spans="1:16">
      <c r="A25" t="s">
        <v>16</v>
      </c>
      <c r="B25" t="s">
        <v>17</v>
      </c>
      <c r="C25" t="s">
        <v>85</v>
      </c>
      <c r="E25" s="1">
        <v>12.5</v>
      </c>
      <c r="F25" s="1">
        <v>8.418283780163049</v>
      </c>
      <c r="G25" s="5">
        <v>1.052285472520382</v>
      </c>
      <c r="H25" s="1">
        <v>10.13415226742151</v>
      </c>
      <c r="I25" t="s">
        <v>86</v>
      </c>
      <c r="L25" t="s">
        <v>41</v>
      </c>
      <c r="M25" t="s">
        <v>87</v>
      </c>
      <c r="P25" t="s">
        <v>88</v>
      </c>
    </row>
    <row r="26" spans="1:16">
      <c r="A26" t="s">
        <v>16</v>
      </c>
      <c r="B26" t="s">
        <v>17</v>
      </c>
      <c r="C26" t="s">
        <v>47</v>
      </c>
      <c r="E26" s="1">
        <v>15.21636846627858</v>
      </c>
      <c r="F26" s="1">
        <v>16.85376334999085</v>
      </c>
      <c r="G26" s="5">
        <v>2.564530731769222</v>
      </c>
      <c r="H26" s="1">
        <v>13.29623260150952</v>
      </c>
      <c r="I26" t="s">
        <v>86</v>
      </c>
      <c r="L26" t="s">
        <v>41</v>
      </c>
      <c r="M26" t="s">
        <v>89</v>
      </c>
      <c r="P26" t="s">
        <v>88</v>
      </c>
    </row>
    <row r="27" spans="1:16">
      <c r="A27" t="s">
        <v>16</v>
      </c>
      <c r="B27" t="s">
        <v>17</v>
      </c>
      <c r="C27" t="s">
        <v>73</v>
      </c>
      <c r="E27" s="1">
        <v>9.904371934129752</v>
      </c>
      <c r="F27" s="1">
        <v>64.47410479043734</v>
      </c>
      <c r="G27" s="5">
        <v>6.385755139645481</v>
      </c>
      <c r="H27" s="1">
        <v>12.1814603563381</v>
      </c>
      <c r="I27" t="s">
        <v>90</v>
      </c>
      <c r="J27" t="s">
        <v>71</v>
      </c>
      <c r="L27" t="s">
        <v>41</v>
      </c>
      <c r="M27" t="s">
        <v>91</v>
      </c>
      <c r="P27" t="s">
        <v>88</v>
      </c>
    </row>
    <row r="28" spans="1:16">
      <c r="A28" t="s">
        <v>16</v>
      </c>
      <c r="B28" t="s">
        <v>17</v>
      </c>
      <c r="C28" t="s">
        <v>78</v>
      </c>
      <c r="E28" s="1">
        <v>12.37925959959167</v>
      </c>
      <c r="F28" s="1">
        <v>41.71528099534419</v>
      </c>
      <c r="G28" s="5">
        <v>5.164042927112785</v>
      </c>
      <c r="H28" s="1">
        <v>13.11856213769673</v>
      </c>
      <c r="I28" t="s">
        <v>90</v>
      </c>
      <c r="L28" t="s">
        <v>41</v>
      </c>
      <c r="M28" t="s">
        <v>92</v>
      </c>
      <c r="P28" t="s">
        <v>88</v>
      </c>
    </row>
    <row r="29" spans="1:16">
      <c r="A29" t="s">
        <v>16</v>
      </c>
      <c r="B29" t="s">
        <v>17</v>
      </c>
      <c r="C29" t="s">
        <v>93</v>
      </c>
      <c r="E29" s="1">
        <v>12.5</v>
      </c>
      <c r="F29" s="1">
        <v>12.30090734667146</v>
      </c>
      <c r="G29" s="5">
        <v>1.537613418333934</v>
      </c>
      <c r="H29" s="1">
        <v>10.49707166669791</v>
      </c>
      <c r="I29" t="s">
        <v>90</v>
      </c>
      <c r="L29" t="s">
        <v>41</v>
      </c>
      <c r="M29" t="s">
        <v>94</v>
      </c>
      <c r="P29" t="s">
        <v>88</v>
      </c>
    </row>
    <row r="30" spans="1:16">
      <c r="A30" t="s">
        <v>16</v>
      </c>
      <c r="B30" t="s">
        <v>17</v>
      </c>
      <c r="C30" t="s">
        <v>95</v>
      </c>
      <c r="E30" s="1">
        <v>12.5</v>
      </c>
      <c r="F30" s="1">
        <v>99.30871340569658</v>
      </c>
      <c r="G30" s="5">
        <v>12.41358917571207</v>
      </c>
      <c r="H30" s="1">
        <v>18.62992826904316</v>
      </c>
      <c r="I30" t="s">
        <v>90</v>
      </c>
      <c r="J30" t="s">
        <v>79</v>
      </c>
      <c r="L30" t="s">
        <v>41</v>
      </c>
      <c r="M30" t="s">
        <v>96</v>
      </c>
      <c r="P30" t="s">
        <v>88</v>
      </c>
    </row>
    <row r="31" spans="1:16">
      <c r="A31" t="s">
        <v>16</v>
      </c>
      <c r="B31" t="s">
        <v>17</v>
      </c>
      <c r="C31" t="s">
        <v>97</v>
      </c>
      <c r="E31" s="1">
        <v>12.5</v>
      </c>
      <c r="F31" s="1">
        <v>43.96962142197598</v>
      </c>
      <c r="G31" s="5">
        <v>5.496202677746998</v>
      </c>
      <c r="H31" s="1">
        <v>13.45723262260571</v>
      </c>
      <c r="I31" t="s">
        <v>90</v>
      </c>
      <c r="J31" t="s">
        <v>69</v>
      </c>
      <c r="L31" t="s">
        <v>41</v>
      </c>
      <c r="M31" t="s">
        <v>98</v>
      </c>
      <c r="P31" t="s">
        <v>88</v>
      </c>
    </row>
    <row r="32" spans="1:16">
      <c r="A32" t="s">
        <v>16</v>
      </c>
      <c r="B32" t="s">
        <v>17</v>
      </c>
      <c r="C32" t="s">
        <v>99</v>
      </c>
      <c r="E32" s="1">
        <v>12.5</v>
      </c>
      <c r="F32" s="1">
        <v>-7.081341497978377</v>
      </c>
      <c r="G32" s="5">
        <v>-0.8851676872472964</v>
      </c>
      <c r="H32" s="1">
        <v>8.685360078687374</v>
      </c>
      <c r="I32" t="s">
        <v>90</v>
      </c>
      <c r="J32" t="s">
        <v>50</v>
      </c>
      <c r="L32" t="s">
        <v>41</v>
      </c>
      <c r="M32" t="s">
        <v>100</v>
      </c>
      <c r="P32" t="s">
        <v>88</v>
      </c>
    </row>
    <row r="33" spans="1:16">
      <c r="A33" t="s">
        <v>16</v>
      </c>
      <c r="B33" t="s">
        <v>17</v>
      </c>
      <c r="G33" s="2">
        <v>-2.6E-14</v>
      </c>
      <c r="I33" t="s">
        <v>57</v>
      </c>
      <c r="L33" t="s">
        <v>58</v>
      </c>
      <c r="M33" t="s">
        <v>101</v>
      </c>
      <c r="P33" t="s">
        <v>60</v>
      </c>
    </row>
    <row r="34" spans="1:16">
      <c r="A34" t="s">
        <v>16</v>
      </c>
      <c r="B34" t="s">
        <v>17</v>
      </c>
      <c r="C34" t="s">
        <v>61</v>
      </c>
      <c r="G34" s="6">
        <f>SUM(G25:G33)</f>
        <v>33.728851855593554</v>
      </c>
      <c r="I34" t="s">
        <v>64</v>
      </c>
      <c r="K34" s="1">
        <v>22.07205476283078</v>
      </c>
      <c r="L34" t="s">
        <v>62</v>
      </c>
      <c r="M34" t="s">
        <v>102</v>
      </c>
      <c r="N34" s="1">
        <v>33.72885185559355</v>
      </c>
      <c r="O34" s="2">
        <f>G34-N34</f>
        <v>0</v>
      </c>
    </row>
    <row r="35" spans="1:16">
      <c r="A35" t="s">
        <v>18</v>
      </c>
      <c r="B35" t="s">
        <v>19</v>
      </c>
      <c r="C35" t="s">
        <v>85</v>
      </c>
      <c r="E35" s="1">
        <v>43.25218012470429</v>
      </c>
      <c r="F35" s="1">
        <v>2.092376803754958</v>
      </c>
      <c r="G35" s="5">
        <v>0.9049985840476241</v>
      </c>
      <c r="H35" s="1">
        <v>42.53731571845654</v>
      </c>
      <c r="I35" t="s">
        <v>86</v>
      </c>
      <c r="J35" t="s">
        <v>71</v>
      </c>
      <c r="L35" t="s">
        <v>41</v>
      </c>
      <c r="M35" t="s">
        <v>103</v>
      </c>
      <c r="P35" t="s">
        <v>88</v>
      </c>
    </row>
    <row r="36" spans="1:16">
      <c r="A36" t="s">
        <v>18</v>
      </c>
      <c r="B36" t="s">
        <v>19</v>
      </c>
      <c r="C36" t="s">
        <v>47</v>
      </c>
      <c r="E36" s="1">
        <v>56.7478198752957</v>
      </c>
      <c r="F36" s="1">
        <v>5.115791544690995</v>
      </c>
      <c r="G36" s="5">
        <v>2.903100170976851</v>
      </c>
      <c r="H36" s="1">
        <v>57.46268428154346</v>
      </c>
      <c r="I36" t="s">
        <v>86</v>
      </c>
      <c r="J36" t="s">
        <v>79</v>
      </c>
      <c r="L36" t="s">
        <v>41</v>
      </c>
      <c r="M36" t="s">
        <v>104</v>
      </c>
      <c r="P36" t="s">
        <v>88</v>
      </c>
    </row>
    <row r="37" spans="1:16">
      <c r="A37" t="s">
        <v>18</v>
      </c>
      <c r="B37" t="s">
        <v>19</v>
      </c>
      <c r="G37" s="2">
        <v>5.7E-15</v>
      </c>
      <c r="I37" t="s">
        <v>57</v>
      </c>
      <c r="L37" t="s">
        <v>58</v>
      </c>
      <c r="M37" t="s">
        <v>105</v>
      </c>
      <c r="P37" t="s">
        <v>60</v>
      </c>
    </row>
    <row r="38" spans="1:16">
      <c r="A38" t="s">
        <v>18</v>
      </c>
      <c r="B38" t="s">
        <v>19</v>
      </c>
      <c r="C38" t="s">
        <v>61</v>
      </c>
      <c r="G38" s="6">
        <f>SUM(G35:G37)</f>
        <v>3.8080987550244805</v>
      </c>
      <c r="I38" t="s">
        <v>64</v>
      </c>
      <c r="K38" s="1">
        <v>15.67973720814175</v>
      </c>
      <c r="L38" t="s">
        <v>62</v>
      </c>
      <c r="M38" t="s">
        <v>106</v>
      </c>
      <c r="N38" s="1">
        <v>3.80809875502448</v>
      </c>
      <c r="O38" s="2">
        <f>G38-N38</f>
        <v>0</v>
      </c>
    </row>
    <row r="39" spans="1:16">
      <c r="A39" t="s">
        <v>20</v>
      </c>
      <c r="B39" t="s">
        <v>21</v>
      </c>
      <c r="C39" t="s">
        <v>85</v>
      </c>
      <c r="E39" s="1">
        <v>17.01492628738261</v>
      </c>
      <c r="F39" s="1">
        <v>43.7404155465033</v>
      </c>
      <c r="G39" s="5">
        <v>7.44239946303238</v>
      </c>
      <c r="H39" s="1">
        <v>14.70565512772144</v>
      </c>
      <c r="I39" t="s">
        <v>86</v>
      </c>
      <c r="L39" t="s">
        <v>41</v>
      </c>
      <c r="M39" t="s">
        <v>107</v>
      </c>
      <c r="P39" t="s">
        <v>88</v>
      </c>
    </row>
    <row r="40" spans="1:16">
      <c r="A40" t="s">
        <v>20</v>
      </c>
      <c r="B40" t="s">
        <v>21</v>
      </c>
      <c r="C40" t="s">
        <v>47</v>
      </c>
      <c r="E40" s="1">
        <v>22.98507371261738</v>
      </c>
      <c r="F40" s="1">
        <v>60.35751356978454</v>
      </c>
      <c r="G40" s="5">
        <v>13.87321898511802</v>
      </c>
      <c r="H40" s="1">
        <v>22.16208536210518</v>
      </c>
      <c r="I40" t="s">
        <v>90</v>
      </c>
      <c r="J40" t="s">
        <v>69</v>
      </c>
      <c r="L40" t="s">
        <v>41</v>
      </c>
      <c r="M40" t="s">
        <v>108</v>
      </c>
      <c r="P40" t="s">
        <v>88</v>
      </c>
    </row>
    <row r="41" spans="1:16">
      <c r="A41" t="s">
        <v>20</v>
      </c>
      <c r="B41" t="s">
        <v>21</v>
      </c>
      <c r="C41" t="s">
        <v>75</v>
      </c>
      <c r="E41" s="1">
        <v>20</v>
      </c>
      <c r="F41" s="1">
        <v>40.99456110366533</v>
      </c>
      <c r="G41" s="5">
        <v>8.198912220733069</v>
      </c>
      <c r="H41" s="1">
        <v>16.95538924929083</v>
      </c>
      <c r="I41" t="s">
        <v>109</v>
      </c>
      <c r="L41" t="s">
        <v>41</v>
      </c>
      <c r="M41" t="s">
        <v>110</v>
      </c>
      <c r="P41" t="s">
        <v>88</v>
      </c>
    </row>
    <row r="42" spans="1:16">
      <c r="A42" t="s">
        <v>20</v>
      </c>
      <c r="B42" t="s">
        <v>21</v>
      </c>
      <c r="C42" t="s">
        <v>111</v>
      </c>
      <c r="E42" s="1">
        <v>20</v>
      </c>
      <c r="F42" s="1">
        <v>107.9676173684259</v>
      </c>
      <c r="G42" s="5">
        <v>21.59352347368517</v>
      </c>
      <c r="H42" s="1">
        <v>25.00927607510081</v>
      </c>
      <c r="I42" t="s">
        <v>86</v>
      </c>
      <c r="J42" t="s">
        <v>79</v>
      </c>
      <c r="L42" t="s">
        <v>41</v>
      </c>
      <c r="M42" t="s">
        <v>112</v>
      </c>
      <c r="P42" t="s">
        <v>88</v>
      </c>
    </row>
    <row r="43" spans="1:16">
      <c r="A43" t="s">
        <v>20</v>
      </c>
      <c r="B43" t="s">
        <v>21</v>
      </c>
      <c r="C43" t="s">
        <v>95</v>
      </c>
      <c r="E43" s="1">
        <v>20</v>
      </c>
      <c r="F43" s="1">
        <v>76.0216535264516</v>
      </c>
      <c r="G43" s="5">
        <v>15.20433070529032</v>
      </c>
      <c r="H43" s="1">
        <v>21.16759418578173</v>
      </c>
      <c r="I43" t="s">
        <v>90</v>
      </c>
      <c r="J43" t="s">
        <v>71</v>
      </c>
      <c r="L43" t="s">
        <v>41</v>
      </c>
      <c r="M43" t="s">
        <v>113</v>
      </c>
      <c r="P43" t="s">
        <v>88</v>
      </c>
    </row>
    <row r="44" spans="1:16">
      <c r="A44" t="s">
        <v>20</v>
      </c>
      <c r="B44" t="s">
        <v>21</v>
      </c>
      <c r="G44" s="2">
        <v>-9E-15</v>
      </c>
      <c r="I44" t="s">
        <v>57</v>
      </c>
      <c r="L44" t="s">
        <v>58</v>
      </c>
      <c r="M44" t="s">
        <v>114</v>
      </c>
      <c r="P44" t="s">
        <v>60</v>
      </c>
    </row>
    <row r="45" spans="1:16">
      <c r="A45" t="s">
        <v>20</v>
      </c>
      <c r="B45" t="s">
        <v>21</v>
      </c>
      <c r="C45" t="s">
        <v>61</v>
      </c>
      <c r="G45" s="6">
        <f>SUM(G39:G44)</f>
        <v>66.31238484785895</v>
      </c>
      <c r="I45" t="s">
        <v>64</v>
      </c>
      <c r="K45" s="1">
        <v>38.76264868231611</v>
      </c>
      <c r="L45" t="s">
        <v>62</v>
      </c>
      <c r="M45" t="s">
        <v>115</v>
      </c>
      <c r="N45" s="1">
        <v>66.31238484785895</v>
      </c>
      <c r="O45" s="2">
        <f>G45-N45</f>
        <v>0</v>
      </c>
    </row>
    <row r="46" spans="1:16">
      <c r="A46" t="s">
        <v>22</v>
      </c>
      <c r="B46" t="s">
        <v>23</v>
      </c>
      <c r="C46" t="s">
        <v>85</v>
      </c>
      <c r="E46" s="1">
        <v>14.70565512772144</v>
      </c>
      <c r="F46" s="1">
        <v>-5.01345559501093</v>
      </c>
      <c r="G46" s="5">
        <v>-0.7372614897837619</v>
      </c>
      <c r="H46" s="1">
        <v>11.93473983548304</v>
      </c>
      <c r="I46" t="s">
        <v>86</v>
      </c>
      <c r="J46" t="s">
        <v>50</v>
      </c>
      <c r="L46" t="s">
        <v>41</v>
      </c>
      <c r="M46" t="s">
        <v>116</v>
      </c>
      <c r="P46" t="s">
        <v>88</v>
      </c>
    </row>
    <row r="47" spans="1:16">
      <c r="A47" t="s">
        <v>22</v>
      </c>
      <c r="B47" t="s">
        <v>23</v>
      </c>
      <c r="C47" t="s">
        <v>75</v>
      </c>
      <c r="E47" s="1">
        <v>16.95538924929083</v>
      </c>
      <c r="F47" s="1">
        <v>11.43883012508229</v>
      </c>
      <c r="G47" s="5">
        <v>1.939498173272843</v>
      </c>
      <c r="H47" s="1">
        <v>16.14398702199892</v>
      </c>
      <c r="I47" t="s">
        <v>90</v>
      </c>
      <c r="J47" t="s">
        <v>69</v>
      </c>
      <c r="L47" t="s">
        <v>41</v>
      </c>
      <c r="M47" t="s">
        <v>117</v>
      </c>
      <c r="P47" t="s">
        <v>88</v>
      </c>
    </row>
    <row r="48" spans="1:16">
      <c r="A48" t="s">
        <v>22</v>
      </c>
      <c r="B48" t="s">
        <v>23</v>
      </c>
      <c r="C48" t="s">
        <v>111</v>
      </c>
      <c r="E48" s="1">
        <v>25.00927607510081</v>
      </c>
      <c r="F48" s="1">
        <v>26.14056569458887</v>
      </c>
      <c r="G48" s="5">
        <v>6.537566242152822</v>
      </c>
      <c r="H48" s="1">
        <v>26.95394799476861</v>
      </c>
      <c r="I48" t="s">
        <v>86</v>
      </c>
      <c r="J48" t="s">
        <v>71</v>
      </c>
      <c r="L48" t="s">
        <v>41</v>
      </c>
      <c r="M48" t="s">
        <v>118</v>
      </c>
      <c r="P48" t="s">
        <v>88</v>
      </c>
    </row>
    <row r="49" spans="1:16">
      <c r="A49" t="s">
        <v>22</v>
      </c>
      <c r="B49" t="s">
        <v>23</v>
      </c>
      <c r="C49" t="s">
        <v>119</v>
      </c>
      <c r="E49" s="1">
        <v>43.32967954788691</v>
      </c>
      <c r="F49" s="1">
        <v>21.46330286040094</v>
      </c>
      <c r="G49" s="5">
        <v>9.299980349804175</v>
      </c>
      <c r="H49" s="1">
        <v>44.96732514774942</v>
      </c>
      <c r="I49" t="s">
        <v>90</v>
      </c>
      <c r="J49" t="s">
        <v>79</v>
      </c>
      <c r="L49" t="s">
        <v>41</v>
      </c>
      <c r="M49" t="s">
        <v>120</v>
      </c>
      <c r="P49" t="s">
        <v>88</v>
      </c>
    </row>
    <row r="50" spans="1:16">
      <c r="A50" t="s">
        <v>22</v>
      </c>
      <c r="B50" t="s">
        <v>23</v>
      </c>
      <c r="G50" s="2">
        <v>5.9E-15</v>
      </c>
      <c r="I50" t="s">
        <v>57</v>
      </c>
      <c r="L50" t="s">
        <v>58</v>
      </c>
      <c r="M50" t="s">
        <v>121</v>
      </c>
      <c r="P50" t="s">
        <v>60</v>
      </c>
    </row>
    <row r="51" spans="1:16">
      <c r="A51" t="s">
        <v>22</v>
      </c>
      <c r="B51" t="s">
        <v>23</v>
      </c>
      <c r="C51" t="s">
        <v>61</v>
      </c>
      <c r="G51" s="6">
        <f>SUM(G46:G50)</f>
        <v>17.039783275446084</v>
      </c>
      <c r="I51" t="s">
        <v>64</v>
      </c>
      <c r="K51" s="1">
        <v>-5.854752830622212</v>
      </c>
      <c r="L51" t="s">
        <v>62</v>
      </c>
      <c r="M51" t="s">
        <v>122</v>
      </c>
      <c r="N51" s="1">
        <v>17.03978327544608</v>
      </c>
      <c r="O51" s="2">
        <f>G51-N51</f>
        <v>0</v>
      </c>
    </row>
    <row r="52" spans="1:16">
      <c r="A52" t="s">
        <v>24</v>
      </c>
      <c r="B52" t="s">
        <v>25</v>
      </c>
      <c r="C52" t="s">
        <v>123</v>
      </c>
      <c r="E52" s="1">
        <v>11.11111111111111</v>
      </c>
      <c r="F52" s="1">
        <v>4.923626629945876</v>
      </c>
      <c r="G52" s="5">
        <v>0.5470696255495415</v>
      </c>
      <c r="H52" s="1">
        <v>9.079284460806432</v>
      </c>
      <c r="I52" t="s">
        <v>109</v>
      </c>
      <c r="L52" t="s">
        <v>41</v>
      </c>
      <c r="M52" t="s">
        <v>124</v>
      </c>
      <c r="P52" t="s">
        <v>88</v>
      </c>
    </row>
    <row r="53" spans="1:16">
      <c r="A53" t="s">
        <v>24</v>
      </c>
      <c r="B53" t="s">
        <v>25</v>
      </c>
      <c r="C53" t="s">
        <v>125</v>
      </c>
      <c r="E53" s="1">
        <v>11.11111111111111</v>
      </c>
      <c r="F53" s="1">
        <v>76.48906933261578</v>
      </c>
      <c r="G53" s="5">
        <v>8.498785481401752</v>
      </c>
      <c r="H53" s="1">
        <v>15.27200799439841</v>
      </c>
      <c r="I53" t="s">
        <v>90</v>
      </c>
      <c r="J53" t="s">
        <v>69</v>
      </c>
      <c r="L53" t="s">
        <v>41</v>
      </c>
      <c r="M53" t="s">
        <v>126</v>
      </c>
      <c r="P53" t="s">
        <v>88</v>
      </c>
    </row>
    <row r="54" spans="1:16">
      <c r="A54" t="s">
        <v>24</v>
      </c>
      <c r="B54" t="s">
        <v>25</v>
      </c>
      <c r="C54" t="s">
        <v>85</v>
      </c>
      <c r="E54" s="1">
        <v>6.819886593915863</v>
      </c>
      <c r="F54" s="1">
        <v>6.892364133693185</v>
      </c>
      <c r="G54" s="5">
        <v>0.4700514175576074</v>
      </c>
      <c r="H54" s="1">
        <v>5.677337005050741</v>
      </c>
      <c r="I54" t="s">
        <v>86</v>
      </c>
      <c r="L54" t="s">
        <v>41</v>
      </c>
      <c r="M54" t="s">
        <v>127</v>
      </c>
      <c r="P54" t="s">
        <v>88</v>
      </c>
    </row>
    <row r="55" spans="1:16">
      <c r="A55" t="s">
        <v>24</v>
      </c>
      <c r="B55" t="s">
        <v>25</v>
      </c>
      <c r="C55" t="s">
        <v>128</v>
      </c>
      <c r="E55" s="1">
        <v>11.11111111111111</v>
      </c>
      <c r="F55" s="1">
        <v>6.722923695987348</v>
      </c>
      <c r="G55" s="5">
        <v>0.7469915217763712</v>
      </c>
      <c r="H55" s="1">
        <v>9.234981803881519</v>
      </c>
      <c r="I55" t="s">
        <v>90</v>
      </c>
      <c r="L55" t="s">
        <v>41</v>
      </c>
      <c r="M55" t="s">
        <v>129</v>
      </c>
      <c r="P55" t="s">
        <v>88</v>
      </c>
    </row>
    <row r="56" spans="1:16">
      <c r="A56" t="s">
        <v>24</v>
      </c>
      <c r="B56" t="s">
        <v>25</v>
      </c>
      <c r="C56" t="s">
        <v>130</v>
      </c>
      <c r="E56" s="1">
        <v>11.11111111111111</v>
      </c>
      <c r="F56" s="1">
        <v>93.7943619734386</v>
      </c>
      <c r="G56" s="5">
        <v>10.42159577482651</v>
      </c>
      <c r="H56" s="1">
        <v>16.76947505315415</v>
      </c>
      <c r="I56" t="s">
        <v>90</v>
      </c>
      <c r="J56" t="s">
        <v>71</v>
      </c>
      <c r="L56" t="s">
        <v>41</v>
      </c>
      <c r="M56" t="s">
        <v>131</v>
      </c>
      <c r="P56" t="s">
        <v>88</v>
      </c>
    </row>
    <row r="57" spans="1:16">
      <c r="A57" t="s">
        <v>24</v>
      </c>
      <c r="B57" t="s">
        <v>25</v>
      </c>
      <c r="C57" t="s">
        <v>132</v>
      </c>
      <c r="E57" s="1">
        <v>11.11111111111111</v>
      </c>
      <c r="F57" s="1">
        <v>-36.5552475100546</v>
      </c>
      <c r="G57" s="5">
        <v>-4.061694167783844</v>
      </c>
      <c r="H57" s="1">
        <v>5.490021398452767</v>
      </c>
      <c r="I57" t="s">
        <v>86</v>
      </c>
      <c r="J57" t="s">
        <v>45</v>
      </c>
      <c r="L57" t="s">
        <v>41</v>
      </c>
      <c r="M57" t="s">
        <v>133</v>
      </c>
      <c r="P57" t="s">
        <v>88</v>
      </c>
    </row>
    <row r="58" spans="1:16">
      <c r="A58" t="s">
        <v>24</v>
      </c>
      <c r="B58" t="s">
        <v>25</v>
      </c>
      <c r="C58" t="s">
        <v>111</v>
      </c>
      <c r="E58" s="1">
        <v>15.40233562830638</v>
      </c>
      <c r="F58" s="1">
        <v>-36.01346042749856</v>
      </c>
      <c r="G58" s="5">
        <v>-5.546914046410629</v>
      </c>
      <c r="H58" s="1">
        <v>7.67531213011825</v>
      </c>
      <c r="I58" t="s">
        <v>90</v>
      </c>
      <c r="J58" t="s">
        <v>50</v>
      </c>
      <c r="L58" t="s">
        <v>41</v>
      </c>
      <c r="M58" t="s">
        <v>134</v>
      </c>
      <c r="P58" t="s">
        <v>88</v>
      </c>
    </row>
    <row r="59" spans="1:16">
      <c r="A59" t="s">
        <v>24</v>
      </c>
      <c r="B59" t="s">
        <v>25</v>
      </c>
      <c r="C59" t="s">
        <v>95</v>
      </c>
      <c r="E59" s="1">
        <v>11.11111111111111</v>
      </c>
      <c r="F59" s="1">
        <v>28.25717102001057</v>
      </c>
      <c r="G59" s="5">
        <v>3.139685668890064</v>
      </c>
      <c r="H59" s="1">
        <v>11.0983901074634</v>
      </c>
      <c r="I59" t="s">
        <v>90</v>
      </c>
      <c r="L59" t="s">
        <v>41</v>
      </c>
      <c r="M59" t="s">
        <v>135</v>
      </c>
      <c r="P59" t="s">
        <v>88</v>
      </c>
    </row>
    <row r="60" spans="1:16">
      <c r="A60" t="s">
        <v>24</v>
      </c>
      <c r="B60" t="s">
        <v>25</v>
      </c>
      <c r="C60" t="s">
        <v>136</v>
      </c>
      <c r="E60" s="1">
        <v>11.11111111111111</v>
      </c>
      <c r="F60" s="1">
        <v>127.6974760291297</v>
      </c>
      <c r="G60" s="5">
        <v>14.18860844768108</v>
      </c>
      <c r="H60" s="1">
        <v>19.70319004667432</v>
      </c>
      <c r="I60" t="s">
        <v>90</v>
      </c>
      <c r="J60" t="s">
        <v>79</v>
      </c>
      <c r="L60" t="s">
        <v>41</v>
      </c>
      <c r="M60" t="s">
        <v>137</v>
      </c>
      <c r="P60" t="s">
        <v>88</v>
      </c>
    </row>
    <row r="61" spans="1:16">
      <c r="A61" t="s">
        <v>24</v>
      </c>
      <c r="B61" t="s">
        <v>25</v>
      </c>
      <c r="G61" s="2">
        <v>3.87E-15</v>
      </c>
      <c r="I61" t="s">
        <v>57</v>
      </c>
      <c r="L61" t="s">
        <v>58</v>
      </c>
      <c r="M61" t="s">
        <v>138</v>
      </c>
      <c r="P61" t="s">
        <v>60</v>
      </c>
    </row>
    <row r="62" spans="1:16">
      <c r="A62" t="s">
        <v>24</v>
      </c>
      <c r="B62" t="s">
        <v>25</v>
      </c>
      <c r="C62" t="s">
        <v>61</v>
      </c>
      <c r="G62" s="6">
        <f>SUM(G52:G61)</f>
        <v>28.404179723488454</v>
      </c>
      <c r="I62" t="s">
        <v>64</v>
      </c>
      <c r="K62" s="1">
        <v>33.39705028056146</v>
      </c>
      <c r="L62" t="s">
        <v>62</v>
      </c>
      <c r="M62" t="s">
        <v>139</v>
      </c>
      <c r="N62" s="1">
        <v>28.40417972348845</v>
      </c>
      <c r="O62" s="2">
        <f>G62-N62</f>
        <v>0</v>
      </c>
    </row>
    <row r="63" spans="1:16">
      <c r="A63" t="s">
        <v>26</v>
      </c>
      <c r="B63" t="s">
        <v>27</v>
      </c>
      <c r="C63" t="s">
        <v>123</v>
      </c>
      <c r="E63" s="1">
        <v>9.079284460806432</v>
      </c>
      <c r="F63" s="1">
        <v>36.29656535583779</v>
      </c>
      <c r="G63" s="5">
        <v>3.295468418159031</v>
      </c>
      <c r="H63" s="1">
        <v>14.21944467584874</v>
      </c>
      <c r="I63" t="s">
        <v>86</v>
      </c>
      <c r="J63" t="s">
        <v>79</v>
      </c>
      <c r="L63" t="s">
        <v>41</v>
      </c>
      <c r="M63" t="s">
        <v>140</v>
      </c>
      <c r="P63" t="s">
        <v>88</v>
      </c>
    </row>
    <row r="64" spans="1:16">
      <c r="A64" t="s">
        <v>26</v>
      </c>
      <c r="B64" t="s">
        <v>27</v>
      </c>
      <c r="C64" t="s">
        <v>141</v>
      </c>
      <c r="E64" s="1">
        <v>79.75335713569007</v>
      </c>
      <c r="F64" s="1">
        <v>-22.03482468367226</v>
      </c>
      <c r="G64" s="5">
        <v>-17.57351242419232</v>
      </c>
      <c r="H64" s="1">
        <v>71.44893077670285</v>
      </c>
      <c r="I64" t="s">
        <v>86</v>
      </c>
      <c r="J64" t="s">
        <v>50</v>
      </c>
      <c r="L64" t="s">
        <v>41</v>
      </c>
      <c r="M64" t="s">
        <v>142</v>
      </c>
      <c r="P64" t="s">
        <v>88</v>
      </c>
    </row>
    <row r="65" spans="1:16">
      <c r="A65" t="s">
        <v>26</v>
      </c>
      <c r="B65" t="s">
        <v>27</v>
      </c>
      <c r="C65" t="s">
        <v>85</v>
      </c>
      <c r="E65" s="1">
        <v>5.677337005050741</v>
      </c>
      <c r="F65" s="1">
        <v>28.25045965195552</v>
      </c>
      <c r="G65" s="5">
        <v>1.603873799917399</v>
      </c>
      <c r="H65" s="1">
        <v>8.36661347722138</v>
      </c>
      <c r="I65" t="s">
        <v>86</v>
      </c>
      <c r="J65" t="s">
        <v>71</v>
      </c>
      <c r="L65" t="s">
        <v>41</v>
      </c>
      <c r="M65" t="s">
        <v>143</v>
      </c>
      <c r="P65" t="s">
        <v>88</v>
      </c>
    </row>
    <row r="66" spans="1:16">
      <c r="A66" t="s">
        <v>26</v>
      </c>
      <c r="B66" t="s">
        <v>27</v>
      </c>
      <c r="C66" t="s">
        <v>132</v>
      </c>
      <c r="E66" s="1">
        <v>5.490021398452767</v>
      </c>
      <c r="F66" s="1">
        <v>-5.443559349994109</v>
      </c>
      <c r="G66" s="5">
        <v>-0.2988525731521529</v>
      </c>
      <c r="H66" s="1">
        <v>5.965011070227027</v>
      </c>
      <c r="I66" t="s">
        <v>86</v>
      </c>
      <c r="J66" t="s">
        <v>45</v>
      </c>
      <c r="L66" t="s">
        <v>41</v>
      </c>
      <c r="M66" t="s">
        <v>144</v>
      </c>
      <c r="P66" t="s">
        <v>88</v>
      </c>
    </row>
    <row r="67" spans="1:16">
      <c r="A67" t="s">
        <v>26</v>
      </c>
      <c r="B67" t="s">
        <v>27</v>
      </c>
      <c r="G67" s="2">
        <v>-5.14E-15</v>
      </c>
      <c r="I67" t="s">
        <v>57</v>
      </c>
      <c r="L67" t="s">
        <v>58</v>
      </c>
      <c r="M67" t="s">
        <v>145</v>
      </c>
      <c r="P67" t="s">
        <v>60</v>
      </c>
    </row>
    <row r="68" spans="1:16">
      <c r="A68" t="s">
        <v>26</v>
      </c>
      <c r="B68" t="s">
        <v>27</v>
      </c>
      <c r="C68" t="s">
        <v>61</v>
      </c>
      <c r="G68" s="6">
        <f>SUM(G63:G67)</f>
        <v>-12.973022779268051</v>
      </c>
      <c r="I68" t="s">
        <v>64</v>
      </c>
      <c r="K68" s="1">
        <v>-22.28654577550484</v>
      </c>
      <c r="L68" t="s">
        <v>62</v>
      </c>
      <c r="M68" t="s">
        <v>146</v>
      </c>
      <c r="N68" s="1">
        <v>-12.97302277926805</v>
      </c>
      <c r="O68" s="2">
        <f>G68-N68</f>
        <v>0</v>
      </c>
    </row>
    <row r="69" spans="1:16">
      <c r="A69" t="s">
        <v>28</v>
      </c>
      <c r="B69" t="s">
        <v>29</v>
      </c>
      <c r="C69" t="s">
        <v>123</v>
      </c>
      <c r="E69" s="1">
        <v>4.062698478813926</v>
      </c>
      <c r="F69" s="1">
        <v>34.86869500038163</v>
      </c>
      <c r="G69" s="5">
        <v>1.416609941362772</v>
      </c>
      <c r="H69" s="1">
        <v>3.769903185213429</v>
      </c>
      <c r="I69" t="s">
        <v>86</v>
      </c>
      <c r="L69" t="s">
        <v>41</v>
      </c>
      <c r="M69" t="s">
        <v>147</v>
      </c>
      <c r="P69" t="s">
        <v>88</v>
      </c>
    </row>
    <row r="70" spans="1:16">
      <c r="A70" t="s">
        <v>28</v>
      </c>
      <c r="B70" t="s">
        <v>29</v>
      </c>
      <c r="C70" t="s">
        <v>148</v>
      </c>
      <c r="E70" s="1">
        <v>7.142857142857141</v>
      </c>
      <c r="F70" s="1">
        <v>0.7753210191254523</v>
      </c>
      <c r="G70" s="5">
        <v>0.05538007279467438</v>
      </c>
      <c r="H70" s="1">
        <v>4.952569800101253</v>
      </c>
      <c r="I70" t="s">
        <v>90</v>
      </c>
      <c r="L70" t="s">
        <v>41</v>
      </c>
      <c r="M70" t="s">
        <v>149</v>
      </c>
      <c r="P70" t="s">
        <v>88</v>
      </c>
    </row>
    <row r="71" spans="1:16">
      <c r="A71" t="s">
        <v>28</v>
      </c>
      <c r="B71" t="s">
        <v>29</v>
      </c>
      <c r="C71" t="s">
        <v>141</v>
      </c>
      <c r="E71" s="1">
        <v>20.41398022191511</v>
      </c>
      <c r="F71" s="1">
        <v>101.1314775034562</v>
      </c>
      <c r="G71" s="5">
        <v>20.64495981568607</v>
      </c>
      <c r="H71" s="1">
        <v>28.24959227687501</v>
      </c>
      <c r="I71" t="s">
        <v>86</v>
      </c>
      <c r="J71" t="s">
        <v>79</v>
      </c>
      <c r="L71" t="s">
        <v>41</v>
      </c>
      <c r="M71" t="s">
        <v>150</v>
      </c>
      <c r="P71" t="s">
        <v>88</v>
      </c>
    </row>
    <row r="72" spans="1:16">
      <c r="A72" t="s">
        <v>28</v>
      </c>
      <c r="B72" t="s">
        <v>29</v>
      </c>
      <c r="C72" t="s">
        <v>125</v>
      </c>
      <c r="E72" s="1">
        <v>7.142857142857141</v>
      </c>
      <c r="F72" s="1">
        <v>-20.68241916119672</v>
      </c>
      <c r="G72" s="5">
        <v>-1.477315654371194</v>
      </c>
      <c r="H72" s="1">
        <v>3.898036260333969</v>
      </c>
      <c r="I72" t="s">
        <v>86</v>
      </c>
      <c r="J72" t="s">
        <v>50</v>
      </c>
      <c r="L72" t="s">
        <v>41</v>
      </c>
      <c r="M72" t="s">
        <v>151</v>
      </c>
      <c r="P72" t="s">
        <v>88</v>
      </c>
    </row>
    <row r="73" spans="1:16">
      <c r="A73" t="s">
        <v>28</v>
      </c>
      <c r="B73" t="s">
        <v>29</v>
      </c>
      <c r="C73" t="s">
        <v>85</v>
      </c>
      <c r="E73" s="1">
        <v>2.390460993491824</v>
      </c>
      <c r="F73" s="1">
        <v>23.58255458937106</v>
      </c>
      <c r="G73" s="5">
        <v>0.5637317687278308</v>
      </c>
      <c r="H73" s="1">
        <v>2.032559558614366</v>
      </c>
      <c r="I73" t="s">
        <v>90</v>
      </c>
      <c r="L73" t="s">
        <v>41</v>
      </c>
      <c r="M73" t="s">
        <v>152</v>
      </c>
      <c r="P73" t="s">
        <v>88</v>
      </c>
    </row>
    <row r="74" spans="1:16">
      <c r="A74" t="s">
        <v>28</v>
      </c>
      <c r="B74" t="s">
        <v>29</v>
      </c>
      <c r="C74" t="s">
        <v>153</v>
      </c>
      <c r="E74" s="1">
        <v>7.142857142857141</v>
      </c>
      <c r="F74" s="1">
        <v>34.00173387019314</v>
      </c>
      <c r="G74" s="5">
        <v>2.428695276442367</v>
      </c>
      <c r="H74" s="1">
        <v>6.585470863454495</v>
      </c>
      <c r="I74" t="s">
        <v>90</v>
      </c>
      <c r="L74" t="s">
        <v>41</v>
      </c>
      <c r="M74" t="s">
        <v>154</v>
      </c>
      <c r="P74" t="s">
        <v>88</v>
      </c>
    </row>
    <row r="75" spans="1:16">
      <c r="A75" t="s">
        <v>28</v>
      </c>
      <c r="B75" t="s">
        <v>29</v>
      </c>
      <c r="C75" t="s">
        <v>73</v>
      </c>
      <c r="E75" s="1">
        <v>7.142857142857141</v>
      </c>
      <c r="F75" s="1">
        <v>29.79817447618096</v>
      </c>
      <c r="G75" s="5">
        <v>2.128441034012925</v>
      </c>
      <c r="H75" s="1">
        <v>6.378888328195035</v>
      </c>
      <c r="I75" t="s">
        <v>90</v>
      </c>
      <c r="L75" t="s">
        <v>41</v>
      </c>
      <c r="M75" t="s">
        <v>155</v>
      </c>
      <c r="P75" t="s">
        <v>88</v>
      </c>
    </row>
    <row r="76" spans="1:16">
      <c r="A76" t="s">
        <v>28</v>
      </c>
      <c r="B76" t="s">
        <v>29</v>
      </c>
      <c r="C76" t="s">
        <v>128</v>
      </c>
      <c r="E76" s="1">
        <v>7.142857142857142</v>
      </c>
      <c r="F76" s="1">
        <v>29.01091884104554</v>
      </c>
      <c r="G76" s="5">
        <v>2.07220848864611</v>
      </c>
      <c r="H76" s="1">
        <v>6.340198910546928</v>
      </c>
      <c r="I76" t="s">
        <v>109</v>
      </c>
      <c r="L76" t="s">
        <v>41</v>
      </c>
      <c r="M76" t="s">
        <v>156</v>
      </c>
      <c r="P76" t="s">
        <v>88</v>
      </c>
    </row>
    <row r="77" spans="1:16">
      <c r="A77" t="s">
        <v>28</v>
      </c>
      <c r="B77" t="s">
        <v>29</v>
      </c>
      <c r="C77" t="s">
        <v>130</v>
      </c>
      <c r="E77" s="1">
        <v>7.142857142857142</v>
      </c>
      <c r="F77" s="1">
        <v>131.9180371572676</v>
      </c>
      <c r="G77" s="5">
        <v>9.422716939804829</v>
      </c>
      <c r="H77" s="1">
        <v>11.3975351833001</v>
      </c>
      <c r="I77" t="s">
        <v>90</v>
      </c>
      <c r="J77" t="s">
        <v>71</v>
      </c>
      <c r="L77" t="s">
        <v>41</v>
      </c>
      <c r="M77" t="s">
        <v>157</v>
      </c>
      <c r="P77" t="s">
        <v>88</v>
      </c>
    </row>
    <row r="78" spans="1:16">
      <c r="A78" t="s">
        <v>28</v>
      </c>
      <c r="B78" t="s">
        <v>29</v>
      </c>
      <c r="C78" t="s">
        <v>132</v>
      </c>
      <c r="E78" s="1">
        <v>1.704288877207722</v>
      </c>
      <c r="F78" s="1">
        <v>26.57655355745783</v>
      </c>
      <c r="G78" s="5">
        <v>0.452941246224907</v>
      </c>
      <c r="H78" s="1">
        <v>1.484229046793604</v>
      </c>
      <c r="I78" t="s">
        <v>86</v>
      </c>
      <c r="L78" t="s">
        <v>41</v>
      </c>
      <c r="M78" t="s">
        <v>158</v>
      </c>
      <c r="P78" t="s">
        <v>88</v>
      </c>
    </row>
    <row r="79" spans="1:16">
      <c r="A79" t="s">
        <v>28</v>
      </c>
      <c r="B79" t="s">
        <v>29</v>
      </c>
      <c r="C79" t="s">
        <v>111</v>
      </c>
      <c r="E79" s="1">
        <v>7.142857142857141</v>
      </c>
      <c r="F79" s="1">
        <v>37.99579425859361</v>
      </c>
      <c r="G79" s="5">
        <v>2.713985304185257</v>
      </c>
      <c r="H79" s="1">
        <v>6.781757639416425</v>
      </c>
      <c r="I79" t="s">
        <v>86</v>
      </c>
      <c r="L79" t="s">
        <v>41</v>
      </c>
      <c r="M79" t="s">
        <v>159</v>
      </c>
      <c r="P79" t="s">
        <v>88</v>
      </c>
    </row>
    <row r="80" spans="1:16">
      <c r="A80" t="s">
        <v>28</v>
      </c>
      <c r="B80" t="s">
        <v>29</v>
      </c>
      <c r="C80" t="s">
        <v>160</v>
      </c>
      <c r="E80" s="1">
        <v>7.142857142857141</v>
      </c>
      <c r="F80" s="1">
        <v>-2.926829268292674</v>
      </c>
      <c r="G80" s="5">
        <v>-0.2090592334494767</v>
      </c>
      <c r="H80" s="1">
        <v>4.770628849445056</v>
      </c>
      <c r="I80" t="s">
        <v>161</v>
      </c>
      <c r="J80" t="s">
        <v>45</v>
      </c>
      <c r="L80" t="s">
        <v>41</v>
      </c>
      <c r="M80" t="s">
        <v>162</v>
      </c>
      <c r="P80" t="s">
        <v>88</v>
      </c>
    </row>
    <row r="81" spans="1:16">
      <c r="A81" t="s">
        <v>28</v>
      </c>
      <c r="B81" t="s">
        <v>29</v>
      </c>
      <c r="C81" t="s">
        <v>163</v>
      </c>
      <c r="E81" s="1">
        <v>7.142857142857141</v>
      </c>
      <c r="F81" s="1">
        <v>69.71149548491826</v>
      </c>
      <c r="G81" s="5">
        <v>4.979392534637018</v>
      </c>
      <c r="H81" s="1">
        <v>8.340415279938551</v>
      </c>
      <c r="I81" t="s">
        <v>86</v>
      </c>
      <c r="J81" t="s">
        <v>69</v>
      </c>
      <c r="L81" t="s">
        <v>41</v>
      </c>
      <c r="M81" t="s">
        <v>164</v>
      </c>
      <c r="P81" t="s">
        <v>88</v>
      </c>
    </row>
    <row r="82" spans="1:16">
      <c r="A82" t="s">
        <v>28</v>
      </c>
      <c r="B82" t="s">
        <v>29</v>
      </c>
      <c r="C82" t="s">
        <v>165</v>
      </c>
      <c r="E82" s="1">
        <v>7.142857142857142</v>
      </c>
      <c r="F82" s="1">
        <v>2.111071547854815</v>
      </c>
      <c r="G82" s="5">
        <v>0.1507908248467731</v>
      </c>
      <c r="H82" s="1">
        <v>5.01821481777179</v>
      </c>
      <c r="I82" t="s">
        <v>86</v>
      </c>
      <c r="L82" t="s">
        <v>41</v>
      </c>
      <c r="M82" t="s">
        <v>166</v>
      </c>
      <c r="P82" t="s">
        <v>88</v>
      </c>
    </row>
    <row r="83" spans="1:16">
      <c r="A83" t="s">
        <v>28</v>
      </c>
      <c r="B83" t="s">
        <v>29</v>
      </c>
      <c r="G83" s="2">
        <v>1.8926E-14</v>
      </c>
      <c r="I83" t="s">
        <v>57</v>
      </c>
      <c r="L83" t="s">
        <v>58</v>
      </c>
      <c r="M83" t="s">
        <v>167</v>
      </c>
      <c r="P83" t="s">
        <v>60</v>
      </c>
    </row>
    <row r="84" spans="1:16">
      <c r="A84" t="s">
        <v>28</v>
      </c>
      <c r="B84" t="s">
        <v>29</v>
      </c>
      <c r="C84" t="s">
        <v>61</v>
      </c>
      <c r="G84" s="6">
        <f>SUM(G69:G83)</f>
        <v>45.34347835955088</v>
      </c>
      <c r="I84" t="s">
        <v>64</v>
      </c>
      <c r="K84" s="1">
        <v>19.83424318272573</v>
      </c>
      <c r="L84" t="s">
        <v>62</v>
      </c>
      <c r="M84" t="s">
        <v>168</v>
      </c>
      <c r="N84" s="1">
        <v>45.34347835955088</v>
      </c>
      <c r="O84" s="2">
        <f>G84-N84</f>
        <v>0</v>
      </c>
    </row>
    <row r="85" spans="1:16">
      <c r="A85" t="s">
        <v>30</v>
      </c>
      <c r="B85" t="s">
        <v>31</v>
      </c>
      <c r="C85" t="s">
        <v>123</v>
      </c>
      <c r="E85" s="1">
        <v>3.769903185213429</v>
      </c>
      <c r="F85" s="1">
        <v>5.024796045783875</v>
      </c>
      <c r="G85" s="5">
        <v>0.1894299461804843</v>
      </c>
      <c r="H85" s="1">
        <v>3.7669075702268</v>
      </c>
      <c r="I85" t="s">
        <v>86</v>
      </c>
      <c r="L85" t="s">
        <v>41</v>
      </c>
      <c r="M85" t="s">
        <v>169</v>
      </c>
      <c r="P85" t="s">
        <v>88</v>
      </c>
    </row>
    <row r="86" spans="1:16">
      <c r="A86" t="s">
        <v>30</v>
      </c>
      <c r="B86" t="s">
        <v>31</v>
      </c>
      <c r="C86" t="s">
        <v>141</v>
      </c>
      <c r="E86" s="1">
        <v>28.24959227687501</v>
      </c>
      <c r="F86" s="1">
        <v>17.66327216639618</v>
      </c>
      <c r="G86" s="5">
        <v>4.989802369761669</v>
      </c>
      <c r="H86" s="1">
        <v>31.62394352002677</v>
      </c>
      <c r="I86" t="s">
        <v>86</v>
      </c>
      <c r="J86" t="s">
        <v>79</v>
      </c>
      <c r="L86" t="s">
        <v>41</v>
      </c>
      <c r="M86" t="s">
        <v>170</v>
      </c>
      <c r="P86" t="s">
        <v>88</v>
      </c>
    </row>
    <row r="87" spans="1:16">
      <c r="A87" t="s">
        <v>30</v>
      </c>
      <c r="B87" t="s">
        <v>31</v>
      </c>
      <c r="C87" t="s">
        <v>171</v>
      </c>
      <c r="E87" s="1">
        <v>18.05882629155515</v>
      </c>
      <c r="F87" s="1">
        <v>-18.66404715604776</v>
      </c>
      <c r="G87" s="5">
        <v>-3.370507854884605</v>
      </c>
      <c r="H87" s="1">
        <v>13.97445884870945</v>
      </c>
      <c r="I87" t="s">
        <v>86</v>
      </c>
      <c r="J87" t="s">
        <v>50</v>
      </c>
      <c r="L87" t="s">
        <v>41</v>
      </c>
      <c r="M87" t="s">
        <v>172</v>
      </c>
      <c r="P87" t="s">
        <v>88</v>
      </c>
    </row>
    <row r="88" spans="1:16">
      <c r="A88" t="s">
        <v>30</v>
      </c>
      <c r="B88" t="s">
        <v>31</v>
      </c>
      <c r="C88" t="s">
        <v>125</v>
      </c>
      <c r="E88" s="1">
        <v>3.898036260333969</v>
      </c>
      <c r="F88" s="1">
        <v>59.6797671033479</v>
      </c>
      <c r="G88" s="5">
        <v>2.326338961771365</v>
      </c>
      <c r="H88" s="1">
        <v>5.921867487777198</v>
      </c>
      <c r="I88" t="s">
        <v>161</v>
      </c>
      <c r="J88" t="s">
        <v>69</v>
      </c>
      <c r="L88" t="s">
        <v>41</v>
      </c>
      <c r="M88" t="s">
        <v>173</v>
      </c>
      <c r="P88" t="s">
        <v>88</v>
      </c>
    </row>
    <row r="89" spans="1:16">
      <c r="A89" t="s">
        <v>30</v>
      </c>
      <c r="B89" t="s">
        <v>31</v>
      </c>
      <c r="C89" t="s">
        <v>128</v>
      </c>
      <c r="D89" t="s">
        <v>174</v>
      </c>
      <c r="E89" s="1">
        <v>6.340198910546928</v>
      </c>
      <c r="F89" s="1">
        <v>16.11481260289882</v>
      </c>
      <c r="G89" s="5">
        <v>1.02171117308567</v>
      </c>
      <c r="H89" s="1">
        <v>7.004117588762103</v>
      </c>
      <c r="I89" t="s">
        <v>175</v>
      </c>
      <c r="L89" t="s">
        <v>41</v>
      </c>
      <c r="M89" t="s">
        <v>176</v>
      </c>
      <c r="P89" t="s">
        <v>88</v>
      </c>
    </row>
    <row r="90" spans="1:16">
      <c r="A90" t="s">
        <v>30</v>
      </c>
      <c r="B90" t="s">
        <v>31</v>
      </c>
      <c r="C90" t="s">
        <v>132</v>
      </c>
      <c r="E90" s="1">
        <v>1.484229046793604</v>
      </c>
      <c r="F90" s="1">
        <v>30.44600178953547</v>
      </c>
      <c r="G90" s="5">
        <v>0.4518884021475859</v>
      </c>
      <c r="H90" s="1">
        <v>1.842021177110992</v>
      </c>
      <c r="I90" t="s">
        <v>86</v>
      </c>
      <c r="L90" t="s">
        <v>41</v>
      </c>
      <c r="M90" t="s">
        <v>177</v>
      </c>
      <c r="P90" t="s">
        <v>88</v>
      </c>
    </row>
    <row r="91" spans="1:16">
      <c r="A91" t="s">
        <v>30</v>
      </c>
      <c r="B91" t="s">
        <v>31</v>
      </c>
      <c r="C91" t="s">
        <v>111</v>
      </c>
      <c r="E91" s="1">
        <v>6.781757639416425</v>
      </c>
      <c r="F91" s="1">
        <v>34.8455217258975</v>
      </c>
      <c r="G91" s="5">
        <v>2.363138831640564</v>
      </c>
      <c r="H91" s="1">
        <v>8.700449950175635</v>
      </c>
      <c r="I91" t="s">
        <v>90</v>
      </c>
      <c r="J91" t="s">
        <v>71</v>
      </c>
      <c r="L91" t="s">
        <v>41</v>
      </c>
      <c r="M91" t="s">
        <v>178</v>
      </c>
      <c r="P91" t="s">
        <v>88</v>
      </c>
    </row>
    <row r="92" spans="1:16">
      <c r="A92" t="s">
        <v>30</v>
      </c>
      <c r="B92" t="s">
        <v>31</v>
      </c>
      <c r="C92" t="s">
        <v>136</v>
      </c>
      <c r="E92" s="1">
        <v>18.05882629155515</v>
      </c>
      <c r="F92" s="1">
        <v>-4.227368869438553</v>
      </c>
      <c r="G92" s="5">
        <v>-0.7634132008351878</v>
      </c>
      <c r="H92" s="1">
        <v>16.45484740474366</v>
      </c>
      <c r="I92" t="s">
        <v>109</v>
      </c>
      <c r="J92" t="s">
        <v>53</v>
      </c>
      <c r="L92" t="s">
        <v>41</v>
      </c>
      <c r="M92" t="s">
        <v>179</v>
      </c>
      <c r="P92" t="s">
        <v>88</v>
      </c>
    </row>
    <row r="93" spans="1:16">
      <c r="A93" t="s">
        <v>30</v>
      </c>
      <c r="B93" t="s">
        <v>31</v>
      </c>
      <c r="C93" t="s">
        <v>163</v>
      </c>
      <c r="E93" s="1">
        <v>8.340415279938551</v>
      </c>
      <c r="F93" s="1">
        <v>-8.958516274367856</v>
      </c>
      <c r="G93" s="5">
        <v>-0.7471774602031587</v>
      </c>
      <c r="H93" s="1">
        <v>7.224202681733875</v>
      </c>
      <c r="I93" t="s">
        <v>86</v>
      </c>
      <c r="L93" t="s">
        <v>41</v>
      </c>
      <c r="M93" t="s">
        <v>180</v>
      </c>
      <c r="P93" t="s">
        <v>88</v>
      </c>
    </row>
    <row r="94" spans="1:16">
      <c r="A94" t="s">
        <v>30</v>
      </c>
      <c r="B94" t="s">
        <v>31</v>
      </c>
      <c r="C94" t="s">
        <v>165</v>
      </c>
      <c r="E94" s="1">
        <v>5.01821481777179</v>
      </c>
      <c r="F94" s="1">
        <v>-26.95968012568981</v>
      </c>
      <c r="G94" s="5">
        <v>-1.352894662891243</v>
      </c>
      <c r="H94" s="1">
        <v>3.487183770733524</v>
      </c>
      <c r="I94" t="s">
        <v>181</v>
      </c>
      <c r="J94" t="s">
        <v>45</v>
      </c>
      <c r="L94" t="s">
        <v>41</v>
      </c>
      <c r="M94" t="s">
        <v>182</v>
      </c>
      <c r="P94" t="s">
        <v>88</v>
      </c>
    </row>
    <row r="95" spans="1:16">
      <c r="A95" t="s">
        <v>30</v>
      </c>
      <c r="B95" t="s">
        <v>31</v>
      </c>
      <c r="G95" s="2">
        <v>3.11E-15</v>
      </c>
      <c r="I95" t="s">
        <v>57</v>
      </c>
      <c r="L95" t="s">
        <v>58</v>
      </c>
      <c r="M95" t="s">
        <v>183</v>
      </c>
      <c r="P95" t="s">
        <v>60</v>
      </c>
    </row>
    <row r="96" spans="1:16">
      <c r="A96" t="s">
        <v>30</v>
      </c>
      <c r="B96" t="s">
        <v>31</v>
      </c>
      <c r="C96" t="s">
        <v>61</v>
      </c>
      <c r="G96" s="6">
        <f>SUM(G85:G95)</f>
        <v>5.108316505773147</v>
      </c>
      <c r="I96" t="s">
        <v>64</v>
      </c>
      <c r="K96" s="1">
        <v>4.928188538958578</v>
      </c>
      <c r="L96" t="s">
        <v>62</v>
      </c>
      <c r="M96" t="s">
        <v>184</v>
      </c>
      <c r="N96" s="1">
        <v>5.108316505773147</v>
      </c>
      <c r="O96" s="2">
        <f>G96-N96</f>
        <v>0</v>
      </c>
    </row>
    <row r="97" spans="1:16">
      <c r="A97" t="s">
        <v>32</v>
      </c>
      <c r="B97" t="s">
        <v>33</v>
      </c>
      <c r="C97" t="s">
        <v>185</v>
      </c>
      <c r="E97" s="1">
        <v>7.692307692307693</v>
      </c>
      <c r="F97" s="1">
        <v>12.96724657637478</v>
      </c>
      <c r="G97" s="5">
        <v>0.9974805058749825</v>
      </c>
      <c r="H97" s="1">
        <v>6.797298576567189</v>
      </c>
      <c r="I97" t="s">
        <v>86</v>
      </c>
      <c r="L97" t="s">
        <v>41</v>
      </c>
      <c r="M97" t="s">
        <v>186</v>
      </c>
      <c r="P97" t="s">
        <v>88</v>
      </c>
    </row>
    <row r="98" spans="1:16">
      <c r="A98" t="s">
        <v>32</v>
      </c>
      <c r="B98" t="s">
        <v>33</v>
      </c>
      <c r="C98" t="s">
        <v>39</v>
      </c>
      <c r="E98" s="1">
        <v>7.692307692307693</v>
      </c>
      <c r="F98" s="1">
        <v>42.43107493989213</v>
      </c>
      <c r="G98" s="5">
        <v>3.263928841530165</v>
      </c>
      <c r="H98" s="1">
        <v>8.570152608732657</v>
      </c>
      <c r="I98" t="s">
        <v>86</v>
      </c>
      <c r="L98" t="s">
        <v>41</v>
      </c>
      <c r="M98" t="s">
        <v>187</v>
      </c>
      <c r="P98" t="s">
        <v>88</v>
      </c>
    </row>
    <row r="99" spans="1:16">
      <c r="A99" t="s">
        <v>32</v>
      </c>
      <c r="B99" t="s">
        <v>33</v>
      </c>
      <c r="C99" t="s">
        <v>123</v>
      </c>
      <c r="E99" s="1">
        <v>2.476886666273291</v>
      </c>
      <c r="F99" s="1">
        <v>51.9994671298863</v>
      </c>
      <c r="G99" s="5">
        <v>1.287967867873316</v>
      </c>
      <c r="H99" s="1">
        <v>2.944932578597159</v>
      </c>
      <c r="I99" t="s">
        <v>86</v>
      </c>
      <c r="L99" t="s">
        <v>41</v>
      </c>
      <c r="M99" t="s">
        <v>188</v>
      </c>
      <c r="P99" t="s">
        <v>88</v>
      </c>
    </row>
    <row r="100" spans="1:16">
      <c r="A100" t="s">
        <v>32</v>
      </c>
      <c r="B100" t="s">
        <v>33</v>
      </c>
      <c r="C100" t="s">
        <v>141</v>
      </c>
      <c r="E100" s="1">
        <v>20.79395965508596</v>
      </c>
      <c r="F100" s="1">
        <v>43.66617343116961</v>
      </c>
      <c r="G100" s="5">
        <v>9.079926486197271</v>
      </c>
      <c r="H100" s="1">
        <v>23.36785651313593</v>
      </c>
      <c r="I100" t="s">
        <v>86</v>
      </c>
      <c r="J100" t="s">
        <v>79</v>
      </c>
      <c r="L100" t="s">
        <v>41</v>
      </c>
      <c r="M100" t="s">
        <v>189</v>
      </c>
      <c r="P100" t="s">
        <v>88</v>
      </c>
    </row>
    <row r="101" spans="1:16">
      <c r="A101" t="s">
        <v>32</v>
      </c>
      <c r="B101" t="s">
        <v>33</v>
      </c>
      <c r="C101" t="s">
        <v>171</v>
      </c>
      <c r="E101" s="1">
        <v>9.188744386597527</v>
      </c>
      <c r="F101" s="1">
        <v>-12.79058580934285</v>
      </c>
      <c r="G101" s="5">
        <v>-1.175294235568931</v>
      </c>
      <c r="H101" s="1">
        <v>6.268255573406297</v>
      </c>
      <c r="I101" t="s">
        <v>90</v>
      </c>
      <c r="J101" t="s">
        <v>50</v>
      </c>
      <c r="L101" t="s">
        <v>41</v>
      </c>
      <c r="M101" t="s">
        <v>190</v>
      </c>
      <c r="P101" t="s">
        <v>88</v>
      </c>
    </row>
    <row r="102" spans="1:16">
      <c r="A102" t="s">
        <v>32</v>
      </c>
      <c r="B102" t="s">
        <v>33</v>
      </c>
      <c r="C102" t="s">
        <v>128</v>
      </c>
      <c r="D102" t="s">
        <v>174</v>
      </c>
      <c r="E102" s="1">
        <v>4.605476811200485</v>
      </c>
      <c r="F102" s="1">
        <v>27.76276592526832</v>
      </c>
      <c r="G102" s="5">
        <v>1.278607746836102</v>
      </c>
      <c r="H102" s="1">
        <v>4.602629969635801</v>
      </c>
      <c r="I102" t="s">
        <v>175</v>
      </c>
      <c r="L102" t="s">
        <v>41</v>
      </c>
      <c r="M102" t="s">
        <v>191</v>
      </c>
      <c r="P102" t="s">
        <v>88</v>
      </c>
    </row>
    <row r="103" spans="1:16">
      <c r="A103" t="s">
        <v>32</v>
      </c>
      <c r="B103" t="s">
        <v>33</v>
      </c>
      <c r="C103" t="s">
        <v>192</v>
      </c>
      <c r="E103" s="1">
        <v>7.692307692307693</v>
      </c>
      <c r="F103" s="1">
        <v>-6.835736867276443</v>
      </c>
      <c r="G103" s="5">
        <v>-0.5258259128674189</v>
      </c>
      <c r="H103" s="1">
        <v>5.605742658787877</v>
      </c>
      <c r="I103" t="s">
        <v>90</v>
      </c>
      <c r="J103" t="s">
        <v>45</v>
      </c>
      <c r="L103" t="s">
        <v>41</v>
      </c>
      <c r="M103" t="s">
        <v>193</v>
      </c>
      <c r="P103" t="s">
        <v>88</v>
      </c>
    </row>
    <row r="104" spans="1:16">
      <c r="A104" t="s">
        <v>32</v>
      </c>
      <c r="B104" t="s">
        <v>33</v>
      </c>
      <c r="C104" t="s">
        <v>194</v>
      </c>
      <c r="E104" s="1">
        <v>7.692307692307693</v>
      </c>
      <c r="F104" s="1">
        <v>80.16512657008816</v>
      </c>
      <c r="G104" s="5">
        <v>6.166548197699091</v>
      </c>
      <c r="H104" s="1">
        <v>10.84063031981538</v>
      </c>
      <c r="I104" t="s">
        <v>181</v>
      </c>
      <c r="J104" t="s">
        <v>71</v>
      </c>
      <c r="L104" t="s">
        <v>41</v>
      </c>
      <c r="M104" t="s">
        <v>195</v>
      </c>
      <c r="P104" t="s">
        <v>88</v>
      </c>
    </row>
    <row r="105" spans="1:16">
      <c r="A105" t="s">
        <v>32</v>
      </c>
      <c r="B105" t="s">
        <v>33</v>
      </c>
      <c r="C105" t="s">
        <v>196</v>
      </c>
      <c r="E105" s="1">
        <v>7.692307692307693</v>
      </c>
      <c r="F105" s="1">
        <v>1.145912210580646</v>
      </c>
      <c r="G105" s="5">
        <v>0.08814709312158883</v>
      </c>
      <c r="H105" s="1">
        <v>6.086002677154326</v>
      </c>
      <c r="I105" t="s">
        <v>86</v>
      </c>
      <c r="L105" t="s">
        <v>41</v>
      </c>
      <c r="M105" t="s">
        <v>197</v>
      </c>
      <c r="P105" t="s">
        <v>88</v>
      </c>
    </row>
    <row r="106" spans="1:16">
      <c r="A106" t="s">
        <v>32</v>
      </c>
      <c r="B106" t="s">
        <v>33</v>
      </c>
      <c r="C106" t="s">
        <v>198</v>
      </c>
      <c r="E106" s="1">
        <v>7.692307692307693</v>
      </c>
      <c r="F106" s="1">
        <v>45.14309772305072</v>
      </c>
      <c r="G106" s="5">
        <v>3.472545978696209</v>
      </c>
      <c r="H106" s="1">
        <v>8.733336444421866</v>
      </c>
      <c r="I106" t="s">
        <v>86</v>
      </c>
      <c r="J106" t="s">
        <v>69</v>
      </c>
      <c r="L106" t="s">
        <v>41</v>
      </c>
      <c r="M106" t="s">
        <v>199</v>
      </c>
      <c r="P106" t="s">
        <v>88</v>
      </c>
    </row>
    <row r="107" spans="1:16">
      <c r="A107" t="s">
        <v>32</v>
      </c>
      <c r="B107" t="s">
        <v>33</v>
      </c>
      <c r="C107" t="s">
        <v>132</v>
      </c>
      <c r="E107" s="1">
        <v>1.211199799177591</v>
      </c>
      <c r="F107" s="1">
        <v>59.2276569653656</v>
      </c>
      <c r="G107" s="5">
        <v>0.7173652622221011</v>
      </c>
      <c r="H107" s="1">
        <v>1.508556048513458</v>
      </c>
      <c r="I107" t="s">
        <v>86</v>
      </c>
      <c r="L107" t="s">
        <v>41</v>
      </c>
      <c r="M107" t="s">
        <v>200</v>
      </c>
      <c r="P107" t="s">
        <v>88</v>
      </c>
    </row>
    <row r="108" spans="1:16">
      <c r="A108" t="s">
        <v>32</v>
      </c>
      <c r="B108" t="s">
        <v>33</v>
      </c>
      <c r="C108" t="s">
        <v>136</v>
      </c>
      <c r="E108" s="1">
        <v>10.81969529980194</v>
      </c>
      <c r="F108" s="1">
        <v>5.302719476706597</v>
      </c>
      <c r="G108" s="5">
        <v>0.5737380899829058</v>
      </c>
      <c r="H108" s="1">
        <v>8.91213534741777</v>
      </c>
      <c r="I108" t="s">
        <v>90</v>
      </c>
      <c r="L108" t="s">
        <v>41</v>
      </c>
      <c r="M108" t="s">
        <v>201</v>
      </c>
      <c r="P108" t="s">
        <v>88</v>
      </c>
    </row>
    <row r="109" spans="1:16">
      <c r="A109" t="s">
        <v>32</v>
      </c>
      <c r="B109" t="s">
        <v>33</v>
      </c>
      <c r="C109" t="s">
        <v>163</v>
      </c>
      <c r="E109" s="1">
        <v>4.750191228017056</v>
      </c>
      <c r="F109" s="1">
        <v>55.08524476279468</v>
      </c>
      <c r="G109" s="5">
        <v>2.616654464653998</v>
      </c>
      <c r="H109" s="1">
        <v>5.762470683814292</v>
      </c>
      <c r="I109" t="s">
        <v>86</v>
      </c>
      <c r="L109" t="s">
        <v>41</v>
      </c>
      <c r="M109" t="s">
        <v>202</v>
      </c>
      <c r="P109" t="s">
        <v>88</v>
      </c>
    </row>
    <row r="110" spans="1:16">
      <c r="A110" t="s">
        <v>32</v>
      </c>
      <c r="B110" t="s">
        <v>33</v>
      </c>
      <c r="G110" s="2">
        <v>5.77E-15</v>
      </c>
      <c r="I110" t="s">
        <v>57</v>
      </c>
      <c r="L110" t="s">
        <v>58</v>
      </c>
      <c r="M110" t="s">
        <v>203</v>
      </c>
      <c r="P110" t="s">
        <v>60</v>
      </c>
    </row>
    <row r="111" spans="1:16">
      <c r="A111" t="s">
        <v>32</v>
      </c>
      <c r="B111" t="s">
        <v>33</v>
      </c>
      <c r="C111" t="s">
        <v>61</v>
      </c>
      <c r="G111" s="6">
        <f>SUM(G97:G110)</f>
        <v>27.841790386251386</v>
      </c>
      <c r="I111" t="s">
        <v>64</v>
      </c>
      <c r="K111" s="1">
        <v>12.06397079089039</v>
      </c>
      <c r="L111" t="s">
        <v>62</v>
      </c>
      <c r="M111" t="s">
        <v>204</v>
      </c>
      <c r="N111" s="1">
        <v>27.84179038625139</v>
      </c>
      <c r="O111" s="2">
        <f>G111-N111</f>
        <v>0</v>
      </c>
    </row>
    <row r="112" spans="1:16">
      <c r="A112" t="s">
        <v>34</v>
      </c>
      <c r="B112" t="s">
        <v>35</v>
      </c>
      <c r="C112" t="s">
        <v>185</v>
      </c>
      <c r="E112" s="1">
        <v>6.797298576567188</v>
      </c>
      <c r="F112" s="1">
        <v>36.19030607877023</v>
      </c>
      <c r="G112" s="5">
        <v>2.459963159947557</v>
      </c>
      <c r="H112" s="1">
        <v>6.326617955789915</v>
      </c>
      <c r="I112" t="s">
        <v>86</v>
      </c>
      <c r="L112" t="s">
        <v>41</v>
      </c>
      <c r="M112" t="s">
        <v>205</v>
      </c>
      <c r="P112" t="s">
        <v>88</v>
      </c>
    </row>
    <row r="113" spans="1:16">
      <c r="A113" t="s">
        <v>34</v>
      </c>
      <c r="B113" t="s">
        <v>35</v>
      </c>
      <c r="C113" t="s">
        <v>39</v>
      </c>
      <c r="E113" s="1">
        <v>8.570152608732656</v>
      </c>
      <c r="F113" s="1">
        <v>10.94492918803929</v>
      </c>
      <c r="G113" s="5">
        <v>0.9379971343326916</v>
      </c>
      <c r="H113" s="1">
        <v>6.49808038305115</v>
      </c>
      <c r="I113" t="s">
        <v>86</v>
      </c>
      <c r="L113" t="s">
        <v>41</v>
      </c>
      <c r="M113" t="s">
        <v>206</v>
      </c>
      <c r="P113" t="s">
        <v>88</v>
      </c>
    </row>
    <row r="114" spans="1:16">
      <c r="A114" t="s">
        <v>34</v>
      </c>
      <c r="B114" t="s">
        <v>35</v>
      </c>
      <c r="C114" t="s">
        <v>123</v>
      </c>
      <c r="E114" s="1">
        <v>2.944932578597158</v>
      </c>
      <c r="F114" s="1">
        <v>39.62601682926889</v>
      </c>
      <c r="G114" s="5">
        <v>1.166959479205532</v>
      </c>
      <c r="H114" s="1">
        <v>2.81015821585256</v>
      </c>
      <c r="I114" t="s">
        <v>86</v>
      </c>
      <c r="L114" t="s">
        <v>41</v>
      </c>
      <c r="M114" t="s">
        <v>207</v>
      </c>
      <c r="P114" t="s">
        <v>88</v>
      </c>
    </row>
    <row r="115" spans="1:16">
      <c r="A115" t="s">
        <v>34</v>
      </c>
      <c r="B115" t="s">
        <v>35</v>
      </c>
      <c r="C115" t="s">
        <v>141</v>
      </c>
      <c r="E115" s="1">
        <v>23.36785651313593</v>
      </c>
      <c r="F115" s="1">
        <v>124.9603148666702</v>
      </c>
      <c r="G115" s="5">
        <v>29.20054707640637</v>
      </c>
      <c r="H115" s="1">
        <v>35.92641274740731</v>
      </c>
      <c r="I115" t="s">
        <v>86</v>
      </c>
      <c r="J115" t="s">
        <v>79</v>
      </c>
      <c r="L115" t="s">
        <v>41</v>
      </c>
      <c r="M115" t="s">
        <v>208</v>
      </c>
      <c r="P115" t="s">
        <v>88</v>
      </c>
    </row>
    <row r="116" spans="1:16">
      <c r="A116" t="s">
        <v>34</v>
      </c>
      <c r="B116" t="s">
        <v>35</v>
      </c>
      <c r="C116" t="s">
        <v>209</v>
      </c>
      <c r="E116" s="1">
        <v>7.906690974856829</v>
      </c>
      <c r="F116" s="1">
        <v>28.05644293476273</v>
      </c>
      <c r="G116" s="5">
        <v>2.218336241388741</v>
      </c>
      <c r="H116" s="1">
        <v>6.919668127832108</v>
      </c>
      <c r="I116" t="s">
        <v>86</v>
      </c>
      <c r="L116" t="s">
        <v>41</v>
      </c>
      <c r="M116" t="s">
        <v>210</v>
      </c>
      <c r="P116" t="s">
        <v>88</v>
      </c>
    </row>
    <row r="117" spans="1:16">
      <c r="A117" t="s">
        <v>34</v>
      </c>
      <c r="B117" t="s">
        <v>35</v>
      </c>
      <c r="C117" t="s">
        <v>128</v>
      </c>
      <c r="E117" s="1">
        <v>4.602629969635802</v>
      </c>
      <c r="F117" s="1">
        <v>41.40117857734404</v>
      </c>
      <c r="G117" s="5">
        <v>1.905543052983274</v>
      </c>
      <c r="H117" s="1">
        <v>4.447829766104376</v>
      </c>
      <c r="I117" t="s">
        <v>109</v>
      </c>
      <c r="L117" t="s">
        <v>41</v>
      </c>
      <c r="M117" t="s">
        <v>211</v>
      </c>
      <c r="P117" t="s">
        <v>88</v>
      </c>
    </row>
    <row r="118" spans="1:16">
      <c r="A118" t="s">
        <v>34</v>
      </c>
      <c r="B118" t="s">
        <v>35</v>
      </c>
      <c r="C118" t="s">
        <v>196</v>
      </c>
      <c r="E118" s="1">
        <v>6.086002677154326</v>
      </c>
      <c r="F118" s="1">
        <v>20.43787812444726</v>
      </c>
      <c r="G118" s="5">
        <v>1.243849809807399</v>
      </c>
      <c r="H118" s="1">
        <v>5.009383733246629</v>
      </c>
      <c r="I118" t="s">
        <v>86</v>
      </c>
      <c r="L118" t="s">
        <v>41</v>
      </c>
      <c r="M118" t="s">
        <v>212</v>
      </c>
      <c r="P118" t="s">
        <v>88</v>
      </c>
    </row>
    <row r="119" spans="1:16">
      <c r="A119" t="s">
        <v>34</v>
      </c>
      <c r="B119" t="s">
        <v>35</v>
      </c>
      <c r="C119" t="s">
        <v>198</v>
      </c>
      <c r="E119" s="1">
        <v>8.733336444421868</v>
      </c>
      <c r="F119" s="1">
        <v>11.95736786488686</v>
      </c>
      <c r="G119" s="5">
        <v>1.044277165537753</v>
      </c>
      <c r="H119" s="1">
        <v>6.682237965201542</v>
      </c>
      <c r="I119" t="s">
        <v>109</v>
      </c>
      <c r="L119" t="s">
        <v>41</v>
      </c>
      <c r="M119" t="s">
        <v>213</v>
      </c>
      <c r="P119" t="s">
        <v>88</v>
      </c>
    </row>
    <row r="120" spans="1:16">
      <c r="A120" t="s">
        <v>34</v>
      </c>
      <c r="B120" t="s">
        <v>35</v>
      </c>
      <c r="C120" t="s">
        <v>132</v>
      </c>
      <c r="E120" s="1">
        <v>1.508556048513459</v>
      </c>
      <c r="F120" s="1">
        <v>12.1022117954952</v>
      </c>
      <c r="G120" s="5">
        <v>0.182568648044852</v>
      </c>
      <c r="H120" s="1">
        <v>1.155752119282053</v>
      </c>
      <c r="I120" t="s">
        <v>86</v>
      </c>
      <c r="L120" t="s">
        <v>41</v>
      </c>
      <c r="M120" t="s">
        <v>214</v>
      </c>
      <c r="P120" t="s">
        <v>88</v>
      </c>
    </row>
    <row r="121" spans="1:16">
      <c r="A121" t="s">
        <v>34</v>
      </c>
      <c r="B121" t="s">
        <v>35</v>
      </c>
      <c r="C121" t="s">
        <v>111</v>
      </c>
      <c r="E121" s="1">
        <v>7.906690974856829</v>
      </c>
      <c r="F121" s="1">
        <v>31.48645429834176</v>
      </c>
      <c r="G121" s="5">
        <v>2.489536640309408</v>
      </c>
      <c r="H121" s="1">
        <v>7.105012494477926</v>
      </c>
      <c r="I121" t="s">
        <v>109</v>
      </c>
      <c r="J121" t="s">
        <v>69</v>
      </c>
      <c r="L121" t="s">
        <v>41</v>
      </c>
      <c r="M121" t="s">
        <v>215</v>
      </c>
      <c r="P121" t="s">
        <v>88</v>
      </c>
    </row>
    <row r="122" spans="1:16">
      <c r="A122" t="s">
        <v>34</v>
      </c>
      <c r="B122" t="s">
        <v>35</v>
      </c>
      <c r="C122" t="s">
        <v>216</v>
      </c>
      <c r="E122" s="1">
        <v>7.906690974856829</v>
      </c>
      <c r="F122" s="1">
        <v>-5.935519557068569</v>
      </c>
      <c r="G122" s="5">
        <v>-0.4693031891296027</v>
      </c>
      <c r="H122" s="1">
        <v>5.082875741079519</v>
      </c>
      <c r="I122" t="s">
        <v>86</v>
      </c>
      <c r="J122" t="s">
        <v>45</v>
      </c>
      <c r="L122" t="s">
        <v>41</v>
      </c>
      <c r="M122" t="s">
        <v>217</v>
      </c>
      <c r="P122" t="s">
        <v>88</v>
      </c>
    </row>
    <row r="123" spans="1:16">
      <c r="A123" t="s">
        <v>34</v>
      </c>
      <c r="B123" t="s">
        <v>35</v>
      </c>
      <c r="C123" t="s">
        <v>163</v>
      </c>
      <c r="E123" s="1">
        <v>5.762470683814292</v>
      </c>
      <c r="F123" s="1">
        <v>-11.6262911960938</v>
      </c>
      <c r="G123" s="5">
        <v>-0.6699616217897872</v>
      </c>
      <c r="H123" s="1">
        <v>3.480333622278777</v>
      </c>
      <c r="I123" t="s">
        <v>109</v>
      </c>
      <c r="J123" t="s">
        <v>50</v>
      </c>
      <c r="L123" t="s">
        <v>41</v>
      </c>
      <c r="M123" t="s">
        <v>218</v>
      </c>
      <c r="P123" t="s">
        <v>88</v>
      </c>
    </row>
    <row r="124" spans="1:16">
      <c r="A124" t="s">
        <v>34</v>
      </c>
      <c r="B124" t="s">
        <v>35</v>
      </c>
      <c r="C124" t="s">
        <v>219</v>
      </c>
      <c r="E124" s="1">
        <v>7.906690974856829</v>
      </c>
      <c r="F124" s="1">
        <v>58.33193694597649</v>
      </c>
      <c r="G124" s="5">
        <v>4.612125993966699</v>
      </c>
      <c r="H124" s="1">
        <v>8.555637128396132</v>
      </c>
      <c r="I124" t="s">
        <v>86</v>
      </c>
      <c r="J124" t="s">
        <v>71</v>
      </c>
      <c r="L124" t="s">
        <v>41</v>
      </c>
      <c r="M124" t="s">
        <v>220</v>
      </c>
      <c r="P124" t="s">
        <v>88</v>
      </c>
    </row>
    <row r="125" spans="1:16">
      <c r="A125" t="s">
        <v>34</v>
      </c>
      <c r="B125" t="s">
        <v>35</v>
      </c>
      <c r="G125" s="2">
        <v>-7.590000000000001E-15</v>
      </c>
      <c r="I125" t="s">
        <v>57</v>
      </c>
      <c r="L125" t="s">
        <v>58</v>
      </c>
      <c r="M125" t="s">
        <v>221</v>
      </c>
      <c r="P125" t="s">
        <v>60</v>
      </c>
    </row>
    <row r="126" spans="1:16">
      <c r="A126" t="s">
        <v>34</v>
      </c>
      <c r="B126" t="s">
        <v>35</v>
      </c>
      <c r="C126" t="s">
        <v>61</v>
      </c>
      <c r="G126" s="6">
        <f>SUM(G112:G125)</f>
        <v>46.32243959101088</v>
      </c>
      <c r="I126" t="s">
        <v>64</v>
      </c>
      <c r="K126" s="1">
        <v>23.88795185755459</v>
      </c>
      <c r="L126" t="s">
        <v>62</v>
      </c>
      <c r="M126" t="s">
        <v>222</v>
      </c>
      <c r="N126" s="1">
        <v>46.32243959101088</v>
      </c>
      <c r="O126" s="2">
        <f>G126-N126</f>
        <v>0</v>
      </c>
    </row>
  </sheetData>
  <mergeCells count="1">
    <mergeCell ref="A2:P3"/>
  </mergeCells>
  <conditionalFormatting sqref="G6:G126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274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5"/>
  <cols>
    <col min="1" max="1" width="14.7109375" customWidth="1"/>
    <col min="2" max="2" width="24.7109375" customWidth="1"/>
    <col min="3" max="3" width="23.7109375" customWidth="1"/>
    <col min="4" max="4" width="30.7109375" customWidth="1"/>
    <col min="5" max="8" width="23.7109375" customWidth="1"/>
    <col min="9" max="9" width="65.7109375" customWidth="1"/>
    <col min="10" max="12" width="23.7109375" customWidth="1"/>
    <col min="13" max="13" width="34.7109375" customWidth="1"/>
    <col min="14" max="15" width="27.7109375" customWidth="1"/>
    <col min="16" max="16" width="48.7109375" customWidth="1"/>
  </cols>
  <sheetData>
    <row r="1" spans="1:16">
      <c r="A1" s="3" t="s">
        <v>238</v>
      </c>
    </row>
    <row r="2" spans="1:16">
      <c r="A2" s="4" t="s">
        <v>38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5" spans="1:16">
      <c r="A5" t="s">
        <v>2</v>
      </c>
      <c r="B5" t="s">
        <v>223</v>
      </c>
      <c r="C5" t="s">
        <v>224</v>
      </c>
      <c r="D5" t="s">
        <v>225</v>
      </c>
      <c r="E5" t="s">
        <v>226</v>
      </c>
      <c r="F5" t="s">
        <v>227</v>
      </c>
      <c r="G5" t="s">
        <v>228</v>
      </c>
      <c r="H5" t="s">
        <v>229</v>
      </c>
      <c r="I5" t="s">
        <v>230</v>
      </c>
      <c r="J5" t="s">
        <v>231</v>
      </c>
      <c r="K5" t="s">
        <v>232</v>
      </c>
      <c r="L5" t="s">
        <v>233</v>
      </c>
      <c r="M5" t="s">
        <v>234</v>
      </c>
      <c r="N5" t="s">
        <v>235</v>
      </c>
      <c r="O5" t="s">
        <v>236</v>
      </c>
      <c r="P5" t="s">
        <v>237</v>
      </c>
    </row>
    <row r="6" spans="1:16">
      <c r="A6" t="s">
        <v>11</v>
      </c>
      <c r="B6" t="s">
        <v>12</v>
      </c>
      <c r="C6" t="s">
        <v>239</v>
      </c>
      <c r="D6" t="s">
        <v>240</v>
      </c>
      <c r="E6" s="1">
        <v>4</v>
      </c>
      <c r="F6" s="1">
        <v>-8.788187953393066</v>
      </c>
      <c r="G6" s="5">
        <v>-0.3515275181357226</v>
      </c>
      <c r="H6" s="1">
        <v>3.687033391904031</v>
      </c>
      <c r="I6" t="s">
        <v>241</v>
      </c>
      <c r="L6" t="s">
        <v>41</v>
      </c>
      <c r="M6" t="s">
        <v>242</v>
      </c>
      <c r="P6" t="s">
        <v>243</v>
      </c>
    </row>
    <row r="7" spans="1:16">
      <c r="A7" t="s">
        <v>11</v>
      </c>
      <c r="B7" t="s">
        <v>12</v>
      </c>
      <c r="C7" t="s">
        <v>244</v>
      </c>
      <c r="E7" s="1">
        <v>4</v>
      </c>
      <c r="F7" s="1">
        <v>5.369073358535514</v>
      </c>
      <c r="G7" s="5">
        <v>0.2147629343414205</v>
      </c>
      <c r="H7" s="1">
        <v>4.259308999895677</v>
      </c>
      <c r="I7" t="s">
        <v>241</v>
      </c>
      <c r="L7" t="s">
        <v>41</v>
      </c>
      <c r="M7" t="s">
        <v>245</v>
      </c>
      <c r="P7" t="s">
        <v>243</v>
      </c>
    </row>
    <row r="8" spans="1:16">
      <c r="A8" t="s">
        <v>11</v>
      </c>
      <c r="B8" t="s">
        <v>12</v>
      </c>
      <c r="C8" t="s">
        <v>246</v>
      </c>
      <c r="E8" s="1">
        <v>4</v>
      </c>
      <c r="F8" s="1">
        <v>10.62853220225479</v>
      </c>
      <c r="G8" s="5">
        <v>0.4251412880901917</v>
      </c>
      <c r="H8" s="1">
        <v>4.471910854250124</v>
      </c>
      <c r="I8" t="s">
        <v>241</v>
      </c>
      <c r="L8" t="s">
        <v>41</v>
      </c>
      <c r="M8" t="s">
        <v>247</v>
      </c>
      <c r="P8" t="s">
        <v>243</v>
      </c>
    </row>
    <row r="9" spans="1:16">
      <c r="A9" t="s">
        <v>11</v>
      </c>
      <c r="B9" t="s">
        <v>12</v>
      </c>
      <c r="C9" t="s">
        <v>248</v>
      </c>
      <c r="E9" s="1">
        <v>4</v>
      </c>
      <c r="F9" s="1">
        <v>-11.93643506970096</v>
      </c>
      <c r="G9" s="5">
        <v>-0.4774574027880382</v>
      </c>
      <c r="H9" s="1">
        <v>3.559772547246526</v>
      </c>
      <c r="I9" t="s">
        <v>241</v>
      </c>
      <c r="L9" t="s">
        <v>41</v>
      </c>
      <c r="M9" t="s">
        <v>249</v>
      </c>
      <c r="P9" t="s">
        <v>243</v>
      </c>
    </row>
    <row r="10" spans="1:16">
      <c r="A10" t="s">
        <v>11</v>
      </c>
      <c r="B10" t="s">
        <v>12</v>
      </c>
      <c r="C10" t="s">
        <v>250</v>
      </c>
      <c r="E10" s="1">
        <v>2</v>
      </c>
      <c r="F10" s="1">
        <v>-18.22824134972203</v>
      </c>
      <c r="G10" s="5">
        <v>-0.3645648269944405</v>
      </c>
      <c r="H10" s="1">
        <v>1.652720178962324</v>
      </c>
      <c r="I10" t="s">
        <v>241</v>
      </c>
      <c r="L10" t="s">
        <v>41</v>
      </c>
      <c r="M10" t="s">
        <v>251</v>
      </c>
      <c r="P10" t="s">
        <v>243</v>
      </c>
    </row>
    <row r="11" spans="1:16">
      <c r="A11" t="s">
        <v>11</v>
      </c>
      <c r="B11" t="s">
        <v>12</v>
      </c>
      <c r="C11" t="s">
        <v>252</v>
      </c>
      <c r="E11" s="1">
        <v>2</v>
      </c>
      <c r="F11" s="1">
        <v>20.88866997611727</v>
      </c>
      <c r="G11" s="5">
        <v>0.4177733995223455</v>
      </c>
      <c r="H11" s="1">
        <v>2.443326982019931</v>
      </c>
      <c r="I11" t="s">
        <v>241</v>
      </c>
      <c r="L11" t="s">
        <v>41</v>
      </c>
      <c r="M11" t="s">
        <v>253</v>
      </c>
      <c r="P11" t="s">
        <v>243</v>
      </c>
    </row>
    <row r="12" spans="1:16">
      <c r="A12" t="s">
        <v>11</v>
      </c>
      <c r="B12" t="s">
        <v>12</v>
      </c>
      <c r="C12" t="s">
        <v>254</v>
      </c>
      <c r="E12" s="1">
        <v>2</v>
      </c>
      <c r="F12" s="1">
        <v>-0.2776457408305011</v>
      </c>
      <c r="G12" s="5">
        <v>-0.005552914816609952</v>
      </c>
      <c r="H12" s="1">
        <v>2.015526508150974</v>
      </c>
      <c r="I12" t="s">
        <v>241</v>
      </c>
      <c r="L12" t="s">
        <v>41</v>
      </c>
      <c r="M12" t="s">
        <v>255</v>
      </c>
      <c r="P12" t="s">
        <v>243</v>
      </c>
    </row>
    <row r="13" spans="1:16">
      <c r="A13" t="s">
        <v>11</v>
      </c>
      <c r="B13" t="s">
        <v>12</v>
      </c>
      <c r="C13" t="s">
        <v>256</v>
      </c>
      <c r="E13" s="1">
        <v>2</v>
      </c>
      <c r="F13" s="1">
        <v>10.63256347146526</v>
      </c>
      <c r="G13" s="5">
        <v>0.2126512694293051</v>
      </c>
      <c r="H13" s="1">
        <v>2.236036904643474</v>
      </c>
      <c r="I13" t="s">
        <v>241</v>
      </c>
      <c r="L13" t="s">
        <v>41</v>
      </c>
      <c r="M13" t="s">
        <v>257</v>
      </c>
      <c r="P13" t="s">
        <v>243</v>
      </c>
    </row>
    <row r="14" spans="1:16">
      <c r="A14" t="s">
        <v>11</v>
      </c>
      <c r="B14" t="s">
        <v>12</v>
      </c>
      <c r="C14" t="s">
        <v>141</v>
      </c>
      <c r="E14" s="1">
        <v>10</v>
      </c>
      <c r="F14" s="1">
        <v>-65.77173990005318</v>
      </c>
      <c r="G14" s="5">
        <v>-6.577173990005318</v>
      </c>
      <c r="H14" s="1">
        <v>3.459002049833055</v>
      </c>
      <c r="I14" t="s">
        <v>241</v>
      </c>
      <c r="J14" t="s">
        <v>50</v>
      </c>
      <c r="L14" t="s">
        <v>41</v>
      </c>
      <c r="M14" t="s">
        <v>258</v>
      </c>
      <c r="P14" t="s">
        <v>243</v>
      </c>
    </row>
    <row r="15" spans="1:16">
      <c r="A15" t="s">
        <v>11</v>
      </c>
      <c r="B15" t="s">
        <v>12</v>
      </c>
      <c r="C15" t="s">
        <v>85</v>
      </c>
      <c r="E15" s="1">
        <v>2</v>
      </c>
      <c r="F15" s="1">
        <v>10.74306232185052</v>
      </c>
      <c r="G15" s="5">
        <v>0.2148612464370103</v>
      </c>
      <c r="H15" s="1">
        <v>2.238270239021971</v>
      </c>
      <c r="I15" t="s">
        <v>241</v>
      </c>
      <c r="L15" t="s">
        <v>41</v>
      </c>
      <c r="M15" t="s">
        <v>259</v>
      </c>
      <c r="P15" t="s">
        <v>243</v>
      </c>
    </row>
    <row r="16" spans="1:16">
      <c r="A16" t="s">
        <v>11</v>
      </c>
      <c r="B16" t="s">
        <v>12</v>
      </c>
      <c r="C16" t="s">
        <v>260</v>
      </c>
      <c r="E16" s="1">
        <v>2</v>
      </c>
      <c r="F16" s="1">
        <v>43.60057843067124</v>
      </c>
      <c r="G16" s="5">
        <v>0.8720115686134247</v>
      </c>
      <c r="H16" s="1">
        <v>2.902366019765498</v>
      </c>
      <c r="I16" t="s">
        <v>241</v>
      </c>
      <c r="J16" t="s">
        <v>69</v>
      </c>
      <c r="L16" t="s">
        <v>41</v>
      </c>
      <c r="M16" t="s">
        <v>261</v>
      </c>
      <c r="P16" t="s">
        <v>243</v>
      </c>
    </row>
    <row r="17" spans="1:16">
      <c r="A17" t="s">
        <v>11</v>
      </c>
      <c r="B17" t="s">
        <v>12</v>
      </c>
      <c r="C17" t="s">
        <v>262</v>
      </c>
      <c r="E17" s="1">
        <v>2</v>
      </c>
      <c r="F17" s="1">
        <v>-2.754565660269759</v>
      </c>
      <c r="G17" s="5">
        <v>-0.05509131320539512</v>
      </c>
      <c r="H17" s="1">
        <v>1.965464535654591</v>
      </c>
      <c r="I17" t="s">
        <v>241</v>
      </c>
      <c r="L17" t="s">
        <v>41</v>
      </c>
      <c r="M17" t="s">
        <v>263</v>
      </c>
      <c r="P17" t="s">
        <v>243</v>
      </c>
    </row>
    <row r="18" spans="1:16">
      <c r="A18" t="s">
        <v>11</v>
      </c>
      <c r="B18" t="s">
        <v>12</v>
      </c>
      <c r="C18" t="s">
        <v>264</v>
      </c>
      <c r="E18" s="1">
        <v>4</v>
      </c>
      <c r="F18" s="1">
        <v>11.3151922185492</v>
      </c>
      <c r="G18" s="5">
        <v>0.4526076887419677</v>
      </c>
      <c r="H18" s="1">
        <v>4.499667548828993</v>
      </c>
      <c r="I18" t="s">
        <v>241</v>
      </c>
      <c r="L18" t="s">
        <v>41</v>
      </c>
      <c r="M18" t="s">
        <v>265</v>
      </c>
      <c r="P18" t="s">
        <v>243</v>
      </c>
    </row>
    <row r="19" spans="1:16">
      <c r="A19" t="s">
        <v>11</v>
      </c>
      <c r="B19" t="s">
        <v>12</v>
      </c>
      <c r="C19" t="s">
        <v>266</v>
      </c>
      <c r="E19" s="1">
        <v>2</v>
      </c>
      <c r="F19" s="1">
        <v>-17.43405473098329</v>
      </c>
      <c r="G19" s="5">
        <v>-0.3486810946196659</v>
      </c>
      <c r="H19" s="1">
        <v>1.668771787394338</v>
      </c>
      <c r="I19" t="s">
        <v>241</v>
      </c>
      <c r="L19" t="s">
        <v>41</v>
      </c>
      <c r="M19" t="s">
        <v>267</v>
      </c>
      <c r="P19" t="s">
        <v>243</v>
      </c>
    </row>
    <row r="20" spans="1:16">
      <c r="A20" t="s">
        <v>11</v>
      </c>
      <c r="B20" t="s">
        <v>12</v>
      </c>
      <c r="C20" t="s">
        <v>268</v>
      </c>
      <c r="E20" s="1">
        <v>20</v>
      </c>
      <c r="F20" s="1">
        <v>36.01454066657732</v>
      </c>
      <c r="G20" s="5">
        <v>7.202908133315466</v>
      </c>
      <c r="H20" s="1">
        <v>27.49041719322003</v>
      </c>
      <c r="I20" t="s">
        <v>241</v>
      </c>
      <c r="J20" t="s">
        <v>79</v>
      </c>
      <c r="L20" t="s">
        <v>41</v>
      </c>
      <c r="M20" t="s">
        <v>269</v>
      </c>
      <c r="P20" t="s">
        <v>243</v>
      </c>
    </row>
    <row r="21" spans="1:16">
      <c r="A21" t="s">
        <v>11</v>
      </c>
      <c r="B21" t="s">
        <v>12</v>
      </c>
      <c r="C21" t="s">
        <v>111</v>
      </c>
      <c r="E21" s="1">
        <v>10</v>
      </c>
      <c r="F21" s="1">
        <v>-28.52304791909088</v>
      </c>
      <c r="G21" s="5">
        <v>-2.852304791909088</v>
      </c>
      <c r="H21" s="1">
        <v>7.223239599142461</v>
      </c>
      <c r="I21" t="s">
        <v>241</v>
      </c>
      <c r="J21" t="s">
        <v>45</v>
      </c>
      <c r="L21" t="s">
        <v>41</v>
      </c>
      <c r="M21" t="s">
        <v>270</v>
      </c>
      <c r="P21" t="s">
        <v>243</v>
      </c>
    </row>
    <row r="22" spans="1:16">
      <c r="A22" t="s">
        <v>11</v>
      </c>
      <c r="B22" t="s">
        <v>12</v>
      </c>
      <c r="C22" t="s">
        <v>271</v>
      </c>
      <c r="E22" s="1">
        <v>2</v>
      </c>
      <c r="F22" s="1">
        <v>9.384952568462502</v>
      </c>
      <c r="G22" s="5">
        <v>0.18769905136925</v>
      </c>
      <c r="H22" s="1">
        <v>2.210820965192977</v>
      </c>
      <c r="I22" t="s">
        <v>241</v>
      </c>
      <c r="L22" t="s">
        <v>41</v>
      </c>
      <c r="M22" t="s">
        <v>272</v>
      </c>
      <c r="P22" t="s">
        <v>243</v>
      </c>
    </row>
    <row r="23" spans="1:16">
      <c r="A23" t="s">
        <v>11</v>
      </c>
      <c r="B23" t="s">
        <v>12</v>
      </c>
      <c r="C23" t="s">
        <v>97</v>
      </c>
      <c r="E23" s="1">
        <v>10</v>
      </c>
      <c r="F23" s="1">
        <v>-19.39467553568701</v>
      </c>
      <c r="G23" s="5">
        <v>-1.939467553568701</v>
      </c>
      <c r="H23" s="1">
        <v>8.145724665389885</v>
      </c>
      <c r="I23" t="s">
        <v>241</v>
      </c>
      <c r="J23" t="s">
        <v>53</v>
      </c>
      <c r="L23" t="s">
        <v>41</v>
      </c>
      <c r="M23" t="s">
        <v>273</v>
      </c>
      <c r="P23" t="s">
        <v>243</v>
      </c>
    </row>
    <row r="24" spans="1:16">
      <c r="A24" t="s">
        <v>11</v>
      </c>
      <c r="B24" t="s">
        <v>12</v>
      </c>
      <c r="C24" t="s">
        <v>274</v>
      </c>
      <c r="D24" t="s">
        <v>275</v>
      </c>
      <c r="E24" s="1">
        <v>2</v>
      </c>
      <c r="F24" s="1">
        <v>50.56038454253673</v>
      </c>
      <c r="G24" s="5">
        <v>1.011207690850735</v>
      </c>
      <c r="H24" s="1">
        <v>3.043033313616177</v>
      </c>
      <c r="I24" t="s">
        <v>241</v>
      </c>
      <c r="J24" t="s">
        <v>71</v>
      </c>
      <c r="L24" t="s">
        <v>41</v>
      </c>
      <c r="M24" t="s">
        <v>276</v>
      </c>
      <c r="P24" t="s">
        <v>243</v>
      </c>
    </row>
    <row r="25" spans="1:16">
      <c r="A25" t="s">
        <v>11</v>
      </c>
      <c r="B25" t="s">
        <v>12</v>
      </c>
      <c r="C25" t="s">
        <v>277</v>
      </c>
      <c r="E25" s="1">
        <v>10</v>
      </c>
      <c r="F25" s="1">
        <v>7.143452012423701</v>
      </c>
      <c r="G25" s="5">
        <v>0.7143452012423696</v>
      </c>
      <c r="H25" s="1">
        <v>10.82758571586696</v>
      </c>
      <c r="I25" t="s">
        <v>241</v>
      </c>
      <c r="L25" t="s">
        <v>41</v>
      </c>
      <c r="M25" t="s">
        <v>278</v>
      </c>
      <c r="P25" t="s">
        <v>243</v>
      </c>
    </row>
    <row r="26" spans="1:16">
      <c r="A26" t="s">
        <v>11</v>
      </c>
      <c r="B26" t="s">
        <v>12</v>
      </c>
      <c r="G26" s="2">
        <v>1.642E-15</v>
      </c>
      <c r="I26" t="s">
        <v>57</v>
      </c>
      <c r="L26" t="s">
        <v>58</v>
      </c>
      <c r="M26" t="s">
        <v>279</v>
      </c>
      <c r="P26" t="s">
        <v>60</v>
      </c>
    </row>
    <row r="27" spans="1:16">
      <c r="A27" t="s">
        <v>11</v>
      </c>
      <c r="B27" t="s">
        <v>12</v>
      </c>
      <c r="C27" t="s">
        <v>61</v>
      </c>
      <c r="G27" s="6">
        <f>SUM(G6:G26)</f>
        <v>-1.0458519340894923</v>
      </c>
      <c r="I27" t="s">
        <v>64</v>
      </c>
      <c r="K27" s="1">
        <v>-0.164271062676169</v>
      </c>
      <c r="L27" t="s">
        <v>62</v>
      </c>
      <c r="M27" t="s">
        <v>280</v>
      </c>
      <c r="N27" s="1">
        <v>-1.045851934089492</v>
      </c>
      <c r="O27" s="2">
        <f>G27-N27</f>
        <v>0</v>
      </c>
    </row>
    <row r="28" spans="1:16">
      <c r="A28" t="s">
        <v>14</v>
      </c>
      <c r="B28" t="s">
        <v>15</v>
      </c>
      <c r="C28" t="s">
        <v>239</v>
      </c>
      <c r="E28" s="1">
        <v>3.779375903096343</v>
      </c>
      <c r="F28" s="1">
        <v>22.3092371509686</v>
      </c>
      <c r="G28" s="5">
        <v>0.8431499330483245</v>
      </c>
      <c r="H28" s="1">
        <v>4.52792945088007</v>
      </c>
      <c r="I28" t="s">
        <v>86</v>
      </c>
      <c r="L28" t="s">
        <v>41</v>
      </c>
      <c r="M28" t="s">
        <v>281</v>
      </c>
      <c r="P28" t="s">
        <v>282</v>
      </c>
    </row>
    <row r="29" spans="1:16">
      <c r="A29" t="s">
        <v>14</v>
      </c>
      <c r="B29" t="s">
        <v>15</v>
      </c>
      <c r="C29" t="s">
        <v>244</v>
      </c>
      <c r="E29" s="1">
        <v>4.365984271635289</v>
      </c>
      <c r="F29" s="1">
        <v>-23.75158660684021</v>
      </c>
      <c r="G29" s="5">
        <v>-1.036990535518477</v>
      </c>
      <c r="H29" s="1">
        <v>3.260868476211766</v>
      </c>
      <c r="I29" t="s">
        <v>86</v>
      </c>
      <c r="J29" t="s">
        <v>53</v>
      </c>
      <c r="L29" t="s">
        <v>41</v>
      </c>
      <c r="M29" t="s">
        <v>283</v>
      </c>
      <c r="P29" t="s">
        <v>282</v>
      </c>
    </row>
    <row r="30" spans="1:16">
      <c r="A30" t="s">
        <v>14</v>
      </c>
      <c r="B30" t="s">
        <v>15</v>
      </c>
      <c r="C30" t="s">
        <v>246</v>
      </c>
      <c r="E30" s="1">
        <v>4.583910783248967</v>
      </c>
      <c r="F30" s="1">
        <v>2.961632538622894</v>
      </c>
      <c r="G30" s="5">
        <v>0.1357585932981453</v>
      </c>
      <c r="H30" s="1">
        <v>4.623085024508586</v>
      </c>
      <c r="I30" t="s">
        <v>109</v>
      </c>
      <c r="L30" t="s">
        <v>41</v>
      </c>
      <c r="M30" t="s">
        <v>284</v>
      </c>
      <c r="P30" t="s">
        <v>282</v>
      </c>
    </row>
    <row r="31" spans="1:16">
      <c r="A31" t="s">
        <v>14</v>
      </c>
      <c r="B31" t="s">
        <v>15</v>
      </c>
      <c r="C31" t="s">
        <v>248</v>
      </c>
      <c r="E31" s="1">
        <v>3.648927784356121</v>
      </c>
      <c r="F31" s="1">
        <v>8.742248877568448</v>
      </c>
      <c r="G31" s="5">
        <v>0.3189983482711563</v>
      </c>
      <c r="H31" s="1">
        <v>3.886725619650473</v>
      </c>
      <c r="I31" t="s">
        <v>86</v>
      </c>
      <c r="L31" t="s">
        <v>41</v>
      </c>
      <c r="M31" t="s">
        <v>285</v>
      </c>
      <c r="P31" t="s">
        <v>282</v>
      </c>
    </row>
    <row r="32" spans="1:16">
      <c r="A32" t="s">
        <v>14</v>
      </c>
      <c r="B32" t="s">
        <v>15</v>
      </c>
      <c r="C32" t="s">
        <v>250</v>
      </c>
      <c r="E32" s="1">
        <v>1.694112896467597</v>
      </c>
      <c r="F32" s="1">
        <v>-33.6497806032381</v>
      </c>
      <c r="G32" s="5">
        <v>-0.5700652728325085</v>
      </c>
      <c r="H32" s="1">
        <v>1.101044865872284</v>
      </c>
      <c r="I32" t="s">
        <v>86</v>
      </c>
      <c r="L32" t="s">
        <v>41</v>
      </c>
      <c r="M32" t="s">
        <v>286</v>
      </c>
      <c r="P32" t="s">
        <v>282</v>
      </c>
    </row>
    <row r="33" spans="1:16">
      <c r="A33" t="s">
        <v>14</v>
      </c>
      <c r="B33" t="s">
        <v>15</v>
      </c>
      <c r="C33" t="s">
        <v>254</v>
      </c>
      <c r="E33" s="1">
        <v>2.066005784944618</v>
      </c>
      <c r="F33" s="1">
        <v>10.7732372911598</v>
      </c>
      <c r="G33" s="5">
        <v>0.2225757056611721</v>
      </c>
      <c r="H33" s="1">
        <v>2.241747455693107</v>
      </c>
      <c r="I33" t="s">
        <v>109</v>
      </c>
      <c r="L33" t="s">
        <v>41</v>
      </c>
      <c r="M33" t="s">
        <v>287</v>
      </c>
      <c r="P33" t="s">
        <v>282</v>
      </c>
    </row>
    <row r="34" spans="1:16">
      <c r="A34" t="s">
        <v>14</v>
      </c>
      <c r="B34" t="s">
        <v>15</v>
      </c>
      <c r="C34" t="s">
        <v>256</v>
      </c>
      <c r="E34" s="1">
        <v>2.292038909764136</v>
      </c>
      <c r="F34" s="1">
        <v>-12.68937856927367</v>
      </c>
      <c r="G34" s="5">
        <v>-0.2908454942150241</v>
      </c>
      <c r="H34" s="1">
        <v>1.960240553404776</v>
      </c>
      <c r="I34" t="s">
        <v>86</v>
      </c>
      <c r="L34" t="s">
        <v>41</v>
      </c>
      <c r="M34" t="s">
        <v>288</v>
      </c>
      <c r="P34" t="s">
        <v>282</v>
      </c>
    </row>
    <row r="35" spans="1:16">
      <c r="A35" t="s">
        <v>14</v>
      </c>
      <c r="B35" t="s">
        <v>15</v>
      </c>
      <c r="C35" t="s">
        <v>141</v>
      </c>
      <c r="E35" s="1">
        <v>3.545633469066282</v>
      </c>
      <c r="F35" s="1">
        <v>118.1592836638819</v>
      </c>
      <c r="G35" s="5">
        <v>4.189495108395563</v>
      </c>
      <c r="H35" s="1">
        <v>7.576835205196982</v>
      </c>
      <c r="I35" t="s">
        <v>90</v>
      </c>
      <c r="J35" t="s">
        <v>71</v>
      </c>
      <c r="L35" t="s">
        <v>41</v>
      </c>
      <c r="M35" t="s">
        <v>289</v>
      </c>
      <c r="P35" t="s">
        <v>282</v>
      </c>
    </row>
    <row r="36" spans="1:16">
      <c r="A36" t="s">
        <v>14</v>
      </c>
      <c r="B36" t="s">
        <v>15</v>
      </c>
      <c r="C36" t="s">
        <v>85</v>
      </c>
      <c r="E36" s="1">
        <v>2.294328178462429</v>
      </c>
      <c r="F36" s="1">
        <v>24.62643601164622</v>
      </c>
      <c r="G36" s="5">
        <v>0.5650112607662187</v>
      </c>
      <c r="H36" s="1">
        <v>2.800825288138229</v>
      </c>
      <c r="I36" t="s">
        <v>86</v>
      </c>
      <c r="L36" t="s">
        <v>41</v>
      </c>
      <c r="M36" t="s">
        <v>290</v>
      </c>
      <c r="P36" t="s">
        <v>282</v>
      </c>
    </row>
    <row r="37" spans="1:16">
      <c r="A37" t="s">
        <v>14</v>
      </c>
      <c r="B37" t="s">
        <v>15</v>
      </c>
      <c r="C37" t="s">
        <v>260</v>
      </c>
      <c r="E37" s="1">
        <v>2.975056374903828</v>
      </c>
      <c r="F37" s="1">
        <v>41.96250472900611</v>
      </c>
      <c r="G37" s="5">
        <v>1.248408172009616</v>
      </c>
      <c r="H37" s="1">
        <v>4.137034639630456</v>
      </c>
      <c r="I37" t="s">
        <v>86</v>
      </c>
      <c r="L37" t="s">
        <v>41</v>
      </c>
      <c r="M37" t="s">
        <v>291</v>
      </c>
      <c r="P37" t="s">
        <v>282</v>
      </c>
    </row>
    <row r="38" spans="1:16">
      <c r="A38" t="s">
        <v>14</v>
      </c>
      <c r="B38" t="s">
        <v>15</v>
      </c>
      <c r="C38" t="s">
        <v>262</v>
      </c>
      <c r="D38" t="s">
        <v>292</v>
      </c>
      <c r="E38" s="1">
        <v>2.014690000029366</v>
      </c>
      <c r="F38" s="1">
        <v>-4.644659668661976</v>
      </c>
      <c r="G38" s="5">
        <v>-0.09357549387993003</v>
      </c>
      <c r="H38" s="1">
        <v>1.881800396417453</v>
      </c>
      <c r="I38" t="s">
        <v>293</v>
      </c>
      <c r="L38" t="s">
        <v>41</v>
      </c>
      <c r="M38" t="s">
        <v>294</v>
      </c>
      <c r="P38" t="s">
        <v>282</v>
      </c>
    </row>
    <row r="39" spans="1:16">
      <c r="A39" t="s">
        <v>14</v>
      </c>
      <c r="B39" t="s">
        <v>15</v>
      </c>
      <c r="C39" t="s">
        <v>264</v>
      </c>
      <c r="E39" s="1">
        <v>4.612362649964178</v>
      </c>
      <c r="F39" s="1">
        <v>2.706717352847976</v>
      </c>
      <c r="G39" s="5">
        <v>0.1248436202228592</v>
      </c>
      <c r="H39" s="1">
        <v>4.640263039300471</v>
      </c>
      <c r="I39" t="s">
        <v>109</v>
      </c>
      <c r="L39" t="s">
        <v>41</v>
      </c>
      <c r="M39" t="s">
        <v>295</v>
      </c>
      <c r="P39" t="s">
        <v>282</v>
      </c>
    </row>
    <row r="40" spans="1:16">
      <c r="A40" t="s">
        <v>14</v>
      </c>
      <c r="B40" t="s">
        <v>15</v>
      </c>
      <c r="C40" t="s">
        <v>266</v>
      </c>
      <c r="E40" s="1">
        <v>1.710566520741002</v>
      </c>
      <c r="F40" s="1">
        <v>-33.43177790903722</v>
      </c>
      <c r="G40" s="5">
        <v>-0.571872800200477</v>
      </c>
      <c r="H40" s="1">
        <v>1.11539124182978</v>
      </c>
      <c r="I40" t="s">
        <v>296</v>
      </c>
      <c r="L40" t="s">
        <v>41</v>
      </c>
      <c r="M40" t="s">
        <v>297</v>
      </c>
      <c r="P40" t="s">
        <v>282</v>
      </c>
    </row>
    <row r="41" spans="1:16">
      <c r="A41" t="s">
        <v>14</v>
      </c>
      <c r="B41" t="s">
        <v>15</v>
      </c>
      <c r="C41" t="s">
        <v>268</v>
      </c>
      <c r="E41" s="1">
        <v>28.17892035755816</v>
      </c>
      <c r="F41" s="1">
        <v>-32.81971565683104</v>
      </c>
      <c r="G41" s="5">
        <v>-9.248241536515463</v>
      </c>
      <c r="H41" s="1">
        <v>18.54327724654564</v>
      </c>
      <c r="I41" t="s">
        <v>86</v>
      </c>
      <c r="J41" t="s">
        <v>50</v>
      </c>
      <c r="L41" t="s">
        <v>41</v>
      </c>
      <c r="M41" t="s">
        <v>298</v>
      </c>
      <c r="P41" t="s">
        <v>282</v>
      </c>
    </row>
    <row r="42" spans="1:16">
      <c r="A42" t="s">
        <v>14</v>
      </c>
      <c r="B42" t="s">
        <v>15</v>
      </c>
      <c r="C42" t="s">
        <v>111</v>
      </c>
      <c r="E42" s="1">
        <v>7.404147123601879</v>
      </c>
      <c r="F42" s="1">
        <v>77.9398315167485</v>
      </c>
      <c r="G42" s="5">
        <v>5.770779793387486</v>
      </c>
      <c r="H42" s="1">
        <v>12.90531231522179</v>
      </c>
      <c r="I42" t="s">
        <v>86</v>
      </c>
      <c r="J42" t="s">
        <v>79</v>
      </c>
      <c r="L42" t="s">
        <v>41</v>
      </c>
      <c r="M42" t="s">
        <v>299</v>
      </c>
      <c r="P42" t="s">
        <v>282</v>
      </c>
    </row>
    <row r="43" spans="1:16">
      <c r="A43" t="s">
        <v>14</v>
      </c>
      <c r="B43" t="s">
        <v>15</v>
      </c>
      <c r="C43" t="s">
        <v>271</v>
      </c>
      <c r="E43" s="1">
        <v>2.266191431913135</v>
      </c>
      <c r="F43" s="1">
        <v>16.19857159359561</v>
      </c>
      <c r="G43" s="5">
        <v>0.3670906415463784</v>
      </c>
      <c r="H43" s="1">
        <v>2.579394010015157</v>
      </c>
      <c r="I43" t="s">
        <v>86</v>
      </c>
      <c r="L43" t="s">
        <v>41</v>
      </c>
      <c r="M43" t="s">
        <v>300</v>
      </c>
      <c r="P43" t="s">
        <v>282</v>
      </c>
    </row>
    <row r="44" spans="1:16">
      <c r="A44" t="s">
        <v>14</v>
      </c>
      <c r="B44" t="s">
        <v>15</v>
      </c>
      <c r="C44" t="s">
        <v>97</v>
      </c>
      <c r="E44" s="1">
        <v>8.349736018456264</v>
      </c>
      <c r="F44" s="1">
        <v>-31.5015625</v>
      </c>
      <c r="G44" s="5">
        <v>-2.630297310439011</v>
      </c>
      <c r="H44" s="1">
        <v>5.602394856517202</v>
      </c>
      <c r="I44" t="s">
        <v>86</v>
      </c>
      <c r="J44" t="s">
        <v>45</v>
      </c>
      <c r="L44" t="s">
        <v>41</v>
      </c>
      <c r="M44" t="s">
        <v>301</v>
      </c>
      <c r="P44" t="s">
        <v>282</v>
      </c>
    </row>
    <row r="45" spans="1:16">
      <c r="A45" t="s">
        <v>14</v>
      </c>
      <c r="B45" t="s">
        <v>15</v>
      </c>
      <c r="C45" t="s">
        <v>274</v>
      </c>
      <c r="E45" s="1">
        <v>3.119246710120315</v>
      </c>
      <c r="F45" s="1">
        <v>66.4807504353594</v>
      </c>
      <c r="G45" s="5">
        <v>2.073698620818245</v>
      </c>
      <c r="H45" s="1">
        <v>5.086675755689812</v>
      </c>
      <c r="I45" t="s">
        <v>86</v>
      </c>
      <c r="J45" t="s">
        <v>69</v>
      </c>
      <c r="L45" t="s">
        <v>41</v>
      </c>
      <c r="M45" t="s">
        <v>302</v>
      </c>
      <c r="P45" t="s">
        <v>282</v>
      </c>
    </row>
    <row r="46" spans="1:16">
      <c r="A46" t="s">
        <v>14</v>
      </c>
      <c r="B46" t="s">
        <v>15</v>
      </c>
      <c r="C46" t="s">
        <v>277</v>
      </c>
      <c r="E46" s="1">
        <v>11.0987648316701</v>
      </c>
      <c r="F46" s="1">
        <v>6.048006162388164</v>
      </c>
      <c r="G46" s="5">
        <v>0.6712539809683791</v>
      </c>
      <c r="H46" s="1">
        <v>11.52915455927596</v>
      </c>
      <c r="I46" t="s">
        <v>86</v>
      </c>
      <c r="L46" t="s">
        <v>41</v>
      </c>
      <c r="M46" t="s">
        <v>303</v>
      </c>
      <c r="P46" t="s">
        <v>282</v>
      </c>
    </row>
    <row r="47" spans="1:16">
      <c r="A47" t="s">
        <v>14</v>
      </c>
      <c r="B47" t="s">
        <v>15</v>
      </c>
      <c r="G47" s="2">
        <v>1.741E-14</v>
      </c>
      <c r="I47" t="s">
        <v>57</v>
      </c>
      <c r="L47" t="s">
        <v>58</v>
      </c>
      <c r="M47" t="s">
        <v>304</v>
      </c>
      <c r="P47" t="s">
        <v>60</v>
      </c>
    </row>
    <row r="48" spans="1:16">
      <c r="A48" t="s">
        <v>14</v>
      </c>
      <c r="B48" t="s">
        <v>15</v>
      </c>
      <c r="C48" t="s">
        <v>61</v>
      </c>
      <c r="G48" s="6">
        <f>SUM(G28:G47)</f>
        <v>2.08917533479267</v>
      </c>
      <c r="I48" t="s">
        <v>64</v>
      </c>
      <c r="K48" s="1">
        <v>-2.927532474970274</v>
      </c>
      <c r="L48" t="s">
        <v>62</v>
      </c>
      <c r="M48" t="s">
        <v>305</v>
      </c>
      <c r="N48" s="1">
        <v>2.08917533479267</v>
      </c>
      <c r="O48" s="2">
        <f>G48-N48</f>
        <v>0</v>
      </c>
    </row>
    <row r="49" spans="1:16">
      <c r="A49" t="s">
        <v>16</v>
      </c>
      <c r="B49" t="s">
        <v>17</v>
      </c>
      <c r="C49" t="s">
        <v>239</v>
      </c>
      <c r="E49" s="1">
        <v>5.00095120165961</v>
      </c>
      <c r="F49" s="1">
        <v>39.55241867953983</v>
      </c>
      <c r="G49" s="5">
        <v>1.977997157239887</v>
      </c>
      <c r="H49" s="1">
        <v>5.6892892592102</v>
      </c>
      <c r="I49" t="s">
        <v>86</v>
      </c>
      <c r="L49" t="s">
        <v>41</v>
      </c>
      <c r="M49" t="s">
        <v>306</v>
      </c>
      <c r="P49" t="s">
        <v>282</v>
      </c>
    </row>
    <row r="50" spans="1:16">
      <c r="A50" t="s">
        <v>16</v>
      </c>
      <c r="B50" t="s">
        <v>17</v>
      </c>
      <c r="C50" t="s">
        <v>244</v>
      </c>
      <c r="E50" s="1">
        <v>3.601523456023719</v>
      </c>
      <c r="F50" s="1">
        <v>60.940493078949</v>
      </c>
      <c r="G50" s="5">
        <v>2.19478615245486</v>
      </c>
      <c r="H50" s="1">
        <v>4.725193582572111</v>
      </c>
      <c r="I50" t="s">
        <v>86</v>
      </c>
      <c r="L50" t="s">
        <v>41</v>
      </c>
      <c r="M50" t="s">
        <v>307</v>
      </c>
      <c r="P50" t="s">
        <v>282</v>
      </c>
    </row>
    <row r="51" spans="1:16">
      <c r="A51" t="s">
        <v>16</v>
      </c>
      <c r="B51" t="s">
        <v>17</v>
      </c>
      <c r="C51" t="s">
        <v>246</v>
      </c>
      <c r="E51" s="1">
        <v>5.106047446078711</v>
      </c>
      <c r="F51" s="1">
        <v>27.86852354038501</v>
      </c>
      <c r="G51" s="5">
        <v>1.422980034493674</v>
      </c>
      <c r="H51" s="1">
        <v>5.32251049987224</v>
      </c>
      <c r="I51" t="s">
        <v>109</v>
      </c>
      <c r="L51" t="s">
        <v>41</v>
      </c>
      <c r="M51" t="s">
        <v>308</v>
      </c>
      <c r="P51" t="s">
        <v>282</v>
      </c>
    </row>
    <row r="52" spans="1:16">
      <c r="A52" t="s">
        <v>16</v>
      </c>
      <c r="B52" t="s">
        <v>17</v>
      </c>
      <c r="C52" t="s">
        <v>248</v>
      </c>
      <c r="E52" s="1">
        <v>4.292762369416842</v>
      </c>
      <c r="F52" s="1">
        <v>61.46109333407406</v>
      </c>
      <c r="G52" s="5">
        <v>2.638378686477294</v>
      </c>
      <c r="H52" s="1">
        <v>5.650316399473623</v>
      </c>
      <c r="I52" t="s">
        <v>86</v>
      </c>
      <c r="J52" t="s">
        <v>69</v>
      </c>
      <c r="L52" t="s">
        <v>41</v>
      </c>
      <c r="M52" t="s">
        <v>309</v>
      </c>
      <c r="P52" t="s">
        <v>282</v>
      </c>
    </row>
    <row r="53" spans="1:16">
      <c r="A53" t="s">
        <v>16</v>
      </c>
      <c r="B53" t="s">
        <v>17</v>
      </c>
      <c r="C53" t="s">
        <v>250</v>
      </c>
      <c r="E53" s="1">
        <v>1.21606833869616</v>
      </c>
      <c r="F53" s="1">
        <v>18.69247230514528</v>
      </c>
      <c r="G53" s="5">
        <v>0.22731323742242</v>
      </c>
      <c r="H53" s="1">
        <v>1.176655117025144</v>
      </c>
      <c r="I53" t="s">
        <v>86</v>
      </c>
      <c r="L53" t="s">
        <v>41</v>
      </c>
      <c r="M53" t="s">
        <v>310</v>
      </c>
      <c r="P53" t="s">
        <v>282</v>
      </c>
    </row>
    <row r="54" spans="1:16">
      <c r="A54" t="s">
        <v>16</v>
      </c>
      <c r="B54" t="s">
        <v>17</v>
      </c>
      <c r="C54" t="s">
        <v>254</v>
      </c>
      <c r="E54" s="1">
        <v>2.475937347077443</v>
      </c>
      <c r="F54" s="1">
        <v>29.86588139604272</v>
      </c>
      <c r="G54" s="5">
        <v>0.7394605115184756</v>
      </c>
      <c r="H54" s="1">
        <v>2.62121562737597</v>
      </c>
      <c r="I54" t="s">
        <v>86</v>
      </c>
      <c r="L54" t="s">
        <v>41</v>
      </c>
      <c r="M54" t="s">
        <v>311</v>
      </c>
      <c r="P54" t="s">
        <v>282</v>
      </c>
    </row>
    <row r="55" spans="1:16">
      <c r="A55" t="s">
        <v>16</v>
      </c>
      <c r="B55" t="s">
        <v>17</v>
      </c>
      <c r="C55" t="s">
        <v>256</v>
      </c>
      <c r="E55" s="1">
        <v>2.165022105012292</v>
      </c>
      <c r="F55" s="1">
        <v>-10.26523019305731</v>
      </c>
      <c r="G55" s="5">
        <v>-0.2222445028100865</v>
      </c>
      <c r="H55" s="1">
        <v>1.583766375223056</v>
      </c>
      <c r="I55" t="s">
        <v>86</v>
      </c>
      <c r="J55" t="s">
        <v>50</v>
      </c>
      <c r="L55" t="s">
        <v>41</v>
      </c>
      <c r="M55" t="s">
        <v>312</v>
      </c>
      <c r="P55" t="s">
        <v>282</v>
      </c>
    </row>
    <row r="56" spans="1:16">
      <c r="A56" t="s">
        <v>16</v>
      </c>
      <c r="B56" t="s">
        <v>17</v>
      </c>
      <c r="C56" t="s">
        <v>85</v>
      </c>
      <c r="E56" s="1">
        <v>3.093420677663401</v>
      </c>
      <c r="F56" s="1">
        <v>8.418283780163049</v>
      </c>
      <c r="G56" s="5">
        <v>0.2604129311599483</v>
      </c>
      <c r="H56" s="1">
        <v>2.734069453820364</v>
      </c>
      <c r="I56" t="s">
        <v>86</v>
      </c>
      <c r="L56" t="s">
        <v>41</v>
      </c>
      <c r="M56" t="s">
        <v>313</v>
      </c>
      <c r="P56" t="s">
        <v>282</v>
      </c>
    </row>
    <row r="57" spans="1:16">
      <c r="A57" t="s">
        <v>16</v>
      </c>
      <c r="B57" t="s">
        <v>17</v>
      </c>
      <c r="C57" t="s">
        <v>260</v>
      </c>
      <c r="E57" s="1">
        <v>4.569220562468377</v>
      </c>
      <c r="F57" s="1">
        <v>13.13701690490663</v>
      </c>
      <c r="G57" s="5">
        <v>0.6002592777139404</v>
      </c>
      <c r="H57" s="1">
        <v>4.214197414564429</v>
      </c>
      <c r="I57" t="s">
        <v>86</v>
      </c>
      <c r="L57" t="s">
        <v>41</v>
      </c>
      <c r="M57" t="s">
        <v>314</v>
      </c>
      <c r="P57" t="s">
        <v>282</v>
      </c>
    </row>
    <row r="58" spans="1:16">
      <c r="A58" t="s">
        <v>16</v>
      </c>
      <c r="B58" t="s">
        <v>17</v>
      </c>
      <c r="C58" t="s">
        <v>264</v>
      </c>
      <c r="E58" s="1">
        <v>5.125020006196428</v>
      </c>
      <c r="F58" s="1">
        <v>40.13875527179589</v>
      </c>
      <c r="G58" s="5">
        <v>2.057119237917763</v>
      </c>
      <c r="H58" s="1">
        <v>5.854931940796638</v>
      </c>
      <c r="I58" t="s">
        <v>109</v>
      </c>
      <c r="L58" t="s">
        <v>41</v>
      </c>
      <c r="M58" t="s">
        <v>315</v>
      </c>
      <c r="P58" t="s">
        <v>282</v>
      </c>
    </row>
    <row r="59" spans="1:16">
      <c r="A59" t="s">
        <v>16</v>
      </c>
      <c r="B59" t="s">
        <v>17</v>
      </c>
      <c r="C59" t="s">
        <v>266</v>
      </c>
      <c r="E59" s="1">
        <v>1.231913445573909</v>
      </c>
      <c r="F59" s="1">
        <v>98.84649511978705</v>
      </c>
      <c r="G59" s="5">
        <v>1.217703263859214</v>
      </c>
      <c r="H59" s="1">
        <v>1.996945287091557</v>
      </c>
      <c r="I59" t="s">
        <v>161</v>
      </c>
      <c r="L59" t="s">
        <v>41</v>
      </c>
      <c r="M59" t="s">
        <v>316</v>
      </c>
      <c r="P59" t="s">
        <v>282</v>
      </c>
    </row>
    <row r="60" spans="1:16">
      <c r="A60" t="s">
        <v>16</v>
      </c>
      <c r="B60" t="s">
        <v>17</v>
      </c>
      <c r="C60" t="s">
        <v>268</v>
      </c>
      <c r="E60" s="1">
        <v>20.48044821254791</v>
      </c>
      <c r="F60" s="1">
        <v>18.98252031074923</v>
      </c>
      <c r="G60" s="5">
        <v>3.887705241679384</v>
      </c>
      <c r="H60" s="1">
        <v>19.8650952241439</v>
      </c>
      <c r="I60" t="s">
        <v>86</v>
      </c>
      <c r="J60" t="s">
        <v>79</v>
      </c>
      <c r="L60" t="s">
        <v>41</v>
      </c>
      <c r="M60" t="s">
        <v>317</v>
      </c>
      <c r="P60" t="s">
        <v>282</v>
      </c>
    </row>
    <row r="61" spans="1:16">
      <c r="A61" t="s">
        <v>16</v>
      </c>
      <c r="B61" t="s">
        <v>17</v>
      </c>
      <c r="C61" t="s">
        <v>111</v>
      </c>
      <c r="E61" s="1">
        <v>14.2534988300352</v>
      </c>
      <c r="F61" s="1">
        <v>12.93303920858866</v>
      </c>
      <c r="G61" s="5">
        <v>1.843410592284179</v>
      </c>
      <c r="H61" s="1">
        <v>13.12231717062344</v>
      </c>
      <c r="I61" t="s">
        <v>86</v>
      </c>
      <c r="L61" t="s">
        <v>41</v>
      </c>
      <c r="M61" t="s">
        <v>318</v>
      </c>
      <c r="P61" t="s">
        <v>282</v>
      </c>
    </row>
    <row r="62" spans="1:16">
      <c r="A62" t="s">
        <v>16</v>
      </c>
      <c r="B62" t="s">
        <v>17</v>
      </c>
      <c r="C62" t="s">
        <v>271</v>
      </c>
      <c r="E62" s="1">
        <v>2.848857013757515</v>
      </c>
      <c r="F62" s="1">
        <v>-5.898309875873031</v>
      </c>
      <c r="G62" s="5">
        <v>-0.168034414591961</v>
      </c>
      <c r="H62" s="1">
        <v>2.1854260033077</v>
      </c>
      <c r="I62" t="s">
        <v>86</v>
      </c>
      <c r="J62" t="s">
        <v>45</v>
      </c>
      <c r="L62" t="s">
        <v>41</v>
      </c>
      <c r="M62" t="s">
        <v>319</v>
      </c>
      <c r="P62" t="s">
        <v>282</v>
      </c>
    </row>
    <row r="63" spans="1:16">
      <c r="A63" t="s">
        <v>16</v>
      </c>
      <c r="B63" t="s">
        <v>17</v>
      </c>
      <c r="C63" t="s">
        <v>97</v>
      </c>
      <c r="E63" s="1">
        <v>6.187663388709766</v>
      </c>
      <c r="F63" s="1">
        <v>43.969621421976</v>
      </c>
      <c r="G63" s="5">
        <v>2.720692166881895</v>
      </c>
      <c r="H63" s="1">
        <v>7.262155983003318</v>
      </c>
      <c r="I63" t="s">
        <v>86</v>
      </c>
      <c r="J63" t="s">
        <v>71</v>
      </c>
      <c r="L63" t="s">
        <v>41</v>
      </c>
      <c r="M63" t="s">
        <v>320</v>
      </c>
      <c r="P63" t="s">
        <v>282</v>
      </c>
    </row>
    <row r="64" spans="1:16">
      <c r="A64" t="s">
        <v>16</v>
      </c>
      <c r="B64" t="s">
        <v>17</v>
      </c>
      <c r="C64" t="s">
        <v>274</v>
      </c>
      <c r="E64" s="1">
        <v>5.618068370726377</v>
      </c>
      <c r="F64" s="1">
        <v>5.946145719436324</v>
      </c>
      <c r="G64" s="5">
        <v>0.3340585319409523</v>
      </c>
      <c r="H64" s="1">
        <v>4.852216969569495</v>
      </c>
      <c r="I64" t="s">
        <v>86</v>
      </c>
      <c r="L64" t="s">
        <v>41</v>
      </c>
      <c r="M64" t="s">
        <v>321</v>
      </c>
      <c r="P64" t="s">
        <v>282</v>
      </c>
    </row>
    <row r="65" spans="1:16">
      <c r="A65" t="s">
        <v>16</v>
      </c>
      <c r="B65" t="s">
        <v>17</v>
      </c>
      <c r="C65" t="s">
        <v>277</v>
      </c>
      <c r="E65" s="1">
        <v>12.73357722835634</v>
      </c>
      <c r="F65" s="1">
        <v>7.352179252844881</v>
      </c>
      <c r="G65" s="5">
        <v>0.9361954231281958</v>
      </c>
      <c r="H65" s="1">
        <v>11.14369769232682</v>
      </c>
      <c r="I65" t="s">
        <v>86</v>
      </c>
      <c r="L65" t="s">
        <v>41</v>
      </c>
      <c r="M65" t="s">
        <v>322</v>
      </c>
      <c r="P65" t="s">
        <v>282</v>
      </c>
    </row>
    <row r="66" spans="1:16">
      <c r="A66" t="s">
        <v>16</v>
      </c>
      <c r="B66" t="s">
        <v>17</v>
      </c>
      <c r="G66" s="2">
        <v>-2.45E-15</v>
      </c>
      <c r="I66" t="s">
        <v>57</v>
      </c>
      <c r="L66" t="s">
        <v>58</v>
      </c>
      <c r="M66" t="s">
        <v>323</v>
      </c>
      <c r="P66" t="s">
        <v>60</v>
      </c>
    </row>
    <row r="67" spans="1:16">
      <c r="A67" t="s">
        <v>16</v>
      </c>
      <c r="B67" t="s">
        <v>17</v>
      </c>
      <c r="C67" t="s">
        <v>61</v>
      </c>
      <c r="G67" s="6">
        <f>SUM(G49:G66)</f>
        <v>22.668193528770033</v>
      </c>
      <c r="I67" t="s">
        <v>64</v>
      </c>
      <c r="K67" s="1">
        <v>22.07205476283078</v>
      </c>
      <c r="L67" t="s">
        <v>62</v>
      </c>
      <c r="M67" t="s">
        <v>324</v>
      </c>
      <c r="N67" s="1">
        <v>22.66819352877003</v>
      </c>
      <c r="O67" s="2">
        <f>G67-N67</f>
        <v>0</v>
      </c>
    </row>
    <row r="68" spans="1:16">
      <c r="A68" t="s">
        <v>18</v>
      </c>
      <c r="B68" t="s">
        <v>19</v>
      </c>
      <c r="C68" t="s">
        <v>239</v>
      </c>
      <c r="E68" s="1">
        <v>5.22469462639592</v>
      </c>
      <c r="F68" s="1">
        <v>-4.17661998779254</v>
      </c>
      <c r="G68" s="5">
        <v>-0.2182156400671747</v>
      </c>
      <c r="H68" s="1">
        <v>4.542994251827922</v>
      </c>
      <c r="I68" t="s">
        <v>86</v>
      </c>
      <c r="L68" t="s">
        <v>41</v>
      </c>
      <c r="M68" t="s">
        <v>325</v>
      </c>
      <c r="P68" t="s">
        <v>282</v>
      </c>
    </row>
    <row r="69" spans="1:16">
      <c r="A69" t="s">
        <v>18</v>
      </c>
      <c r="B69" t="s">
        <v>19</v>
      </c>
      <c r="C69" t="s">
        <v>244</v>
      </c>
      <c r="E69" s="1">
        <v>4.339328234995068</v>
      </c>
      <c r="F69" s="1">
        <v>10.736065666006</v>
      </c>
      <c r="G69" s="5">
        <v>0.4658731287726096</v>
      </c>
      <c r="H69" s="1">
        <v>4.360350304891663</v>
      </c>
      <c r="I69" t="s">
        <v>86</v>
      </c>
      <c r="L69" t="s">
        <v>41</v>
      </c>
      <c r="M69" t="s">
        <v>326</v>
      </c>
      <c r="P69" t="s">
        <v>282</v>
      </c>
    </row>
    <row r="70" spans="1:16">
      <c r="A70" t="s">
        <v>18</v>
      </c>
      <c r="B70" t="s">
        <v>19</v>
      </c>
      <c r="C70" t="s">
        <v>246</v>
      </c>
      <c r="E70" s="1">
        <v>4.887867489352931</v>
      </c>
      <c r="F70" s="1">
        <v>9.083292096946849</v>
      </c>
      <c r="G70" s="5">
        <v>0.4439792813696289</v>
      </c>
      <c r="H70" s="1">
        <v>4.838240467435232</v>
      </c>
      <c r="I70" t="s">
        <v>109</v>
      </c>
      <c r="L70" t="s">
        <v>41</v>
      </c>
      <c r="M70" t="s">
        <v>327</v>
      </c>
      <c r="P70" t="s">
        <v>282</v>
      </c>
    </row>
    <row r="71" spans="1:16">
      <c r="A71" t="s">
        <v>18</v>
      </c>
      <c r="B71" t="s">
        <v>19</v>
      </c>
      <c r="C71" t="s">
        <v>248</v>
      </c>
      <c r="E71" s="1">
        <v>5.188904340199566</v>
      </c>
      <c r="F71" s="1">
        <v>19.74990377631012</v>
      </c>
      <c r="G71" s="5">
        <v>1.024803614234193</v>
      </c>
      <c r="H71" s="1">
        <v>5.638461600780679</v>
      </c>
      <c r="I71" t="s">
        <v>86</v>
      </c>
      <c r="J71" t="s">
        <v>69</v>
      </c>
      <c r="L71" t="s">
        <v>41</v>
      </c>
      <c r="M71" t="s">
        <v>328</v>
      </c>
      <c r="P71" t="s">
        <v>282</v>
      </c>
    </row>
    <row r="72" spans="1:16">
      <c r="A72" t="s">
        <v>18</v>
      </c>
      <c r="B72" t="s">
        <v>19</v>
      </c>
      <c r="C72" t="s">
        <v>250</v>
      </c>
      <c r="D72" t="s">
        <v>329</v>
      </c>
      <c r="E72" s="1">
        <v>1.080567956197742</v>
      </c>
      <c r="F72" s="1">
        <v>-1.435389653134234</v>
      </c>
      <c r="G72" s="5">
        <v>-0.01551036063834641</v>
      </c>
      <c r="H72" s="1">
        <v>0.9664577735579623</v>
      </c>
      <c r="I72" t="s">
        <v>330</v>
      </c>
      <c r="L72" t="s">
        <v>41</v>
      </c>
      <c r="M72" t="s">
        <v>331</v>
      </c>
      <c r="P72" t="s">
        <v>282</v>
      </c>
    </row>
    <row r="73" spans="1:16">
      <c r="A73" t="s">
        <v>18</v>
      </c>
      <c r="B73" t="s">
        <v>19</v>
      </c>
      <c r="C73" t="s">
        <v>254</v>
      </c>
      <c r="E73" s="1">
        <v>2.40716380887222</v>
      </c>
      <c r="F73" s="1">
        <v>-17.32710569593416</v>
      </c>
      <c r="G73" s="5">
        <v>-0.4170918174375643</v>
      </c>
      <c r="H73" s="1">
        <v>1.805837124753634</v>
      </c>
      <c r="I73" t="s">
        <v>86</v>
      </c>
      <c r="J73" t="s">
        <v>53</v>
      </c>
      <c r="L73" t="s">
        <v>41</v>
      </c>
      <c r="M73" t="s">
        <v>332</v>
      </c>
      <c r="P73" t="s">
        <v>282</v>
      </c>
    </row>
    <row r="74" spans="1:16">
      <c r="A74" t="s">
        <v>18</v>
      </c>
      <c r="B74" t="s">
        <v>19</v>
      </c>
      <c r="C74" t="s">
        <v>256</v>
      </c>
      <c r="E74" s="1">
        <v>1.454433988691789</v>
      </c>
      <c r="F74" s="1">
        <v>-6.473019468120167</v>
      </c>
      <c r="G74" s="5">
        <v>-0.09414579523897613</v>
      </c>
      <c r="H74" s="1">
        <v>1.234356812554437</v>
      </c>
      <c r="I74" t="s">
        <v>86</v>
      </c>
      <c r="L74" t="s">
        <v>41</v>
      </c>
      <c r="M74" t="s">
        <v>333</v>
      </c>
      <c r="P74" t="s">
        <v>282</v>
      </c>
    </row>
    <row r="75" spans="1:16">
      <c r="A75" t="s">
        <v>18</v>
      </c>
      <c r="B75" t="s">
        <v>19</v>
      </c>
      <c r="C75" t="s">
        <v>85</v>
      </c>
      <c r="E75" s="1">
        <v>2.510801847602228</v>
      </c>
      <c r="F75" s="1">
        <v>2.092376803754958</v>
      </c>
      <c r="G75" s="5">
        <v>0.05253543544747979</v>
      </c>
      <c r="H75" s="1">
        <v>2.326031243552763</v>
      </c>
      <c r="I75" t="s">
        <v>86</v>
      </c>
      <c r="L75" t="s">
        <v>41</v>
      </c>
      <c r="M75" t="s">
        <v>334</v>
      </c>
      <c r="P75" t="s">
        <v>282</v>
      </c>
    </row>
    <row r="76" spans="1:16">
      <c r="A76" t="s">
        <v>18</v>
      </c>
      <c r="B76" t="s">
        <v>19</v>
      </c>
      <c r="C76" t="s">
        <v>260</v>
      </c>
      <c r="E76" s="1">
        <v>3.87006066720941</v>
      </c>
      <c r="F76" s="1">
        <v>6.600659503261341</v>
      </c>
      <c r="G76" s="5">
        <v>0.2554495272121372</v>
      </c>
      <c r="H76" s="1">
        <v>3.743582895343025</v>
      </c>
      <c r="I76" t="s">
        <v>86</v>
      </c>
      <c r="L76" t="s">
        <v>41</v>
      </c>
      <c r="M76" t="s">
        <v>335</v>
      </c>
      <c r="P76" t="s">
        <v>282</v>
      </c>
    </row>
    <row r="77" spans="1:16">
      <c r="A77" t="s">
        <v>18</v>
      </c>
      <c r="B77" t="s">
        <v>19</v>
      </c>
      <c r="C77" t="s">
        <v>264</v>
      </c>
      <c r="E77" s="1">
        <v>5.376810714883677</v>
      </c>
      <c r="F77" s="1">
        <v>16.36076120496792</v>
      </c>
      <c r="G77" s="5">
        <v>0.8796871615052467</v>
      </c>
      <c r="H77" s="1">
        <v>5.677290160734553</v>
      </c>
      <c r="I77" t="s">
        <v>86</v>
      </c>
      <c r="L77" t="s">
        <v>41</v>
      </c>
      <c r="M77" t="s">
        <v>336</v>
      </c>
      <c r="P77" t="s">
        <v>282</v>
      </c>
    </row>
    <row r="78" spans="1:16">
      <c r="A78" t="s">
        <v>18</v>
      </c>
      <c r="B78" t="s">
        <v>19</v>
      </c>
      <c r="C78" t="s">
        <v>268</v>
      </c>
      <c r="E78" s="1">
        <v>18.24288615707265</v>
      </c>
      <c r="F78" s="1">
        <v>47.08631336048399</v>
      </c>
      <c r="G78" s="5">
        <v>8.589902541915583</v>
      </c>
      <c r="H78" s="1">
        <v>24.34868999807927</v>
      </c>
      <c r="I78" t="s">
        <v>86</v>
      </c>
      <c r="J78" t="s">
        <v>79</v>
      </c>
      <c r="L78" t="s">
        <v>41</v>
      </c>
      <c r="M78" t="s">
        <v>337</v>
      </c>
      <c r="P78" t="s">
        <v>282</v>
      </c>
    </row>
    <row r="79" spans="1:16">
      <c r="A79" t="s">
        <v>18</v>
      </c>
      <c r="B79" t="s">
        <v>19</v>
      </c>
      <c r="C79" t="s">
        <v>338</v>
      </c>
      <c r="E79" s="1">
        <v>10</v>
      </c>
      <c r="F79" s="1">
        <v>-12.55875363022593</v>
      </c>
      <c r="G79" s="5">
        <v>-1.255875363022593</v>
      </c>
      <c r="H79" s="1">
        <v>7.934619933796085</v>
      </c>
      <c r="I79" t="s">
        <v>86</v>
      </c>
      <c r="J79" t="s">
        <v>45</v>
      </c>
      <c r="L79" t="s">
        <v>41</v>
      </c>
      <c r="M79" t="s">
        <v>339</v>
      </c>
      <c r="P79" t="s">
        <v>282</v>
      </c>
    </row>
    <row r="80" spans="1:16">
      <c r="A80" t="s">
        <v>18</v>
      </c>
      <c r="B80" t="s">
        <v>19</v>
      </c>
      <c r="C80" t="s">
        <v>111</v>
      </c>
      <c r="E80" s="1">
        <v>12.05073197785286</v>
      </c>
      <c r="F80" s="1">
        <v>-24.28256478640735</v>
      </c>
      <c r="G80" s="5">
        <v>-2.926226799758428</v>
      </c>
      <c r="H80" s="1">
        <v>8.279785990923397</v>
      </c>
      <c r="I80" t="s">
        <v>86</v>
      </c>
      <c r="J80" t="s">
        <v>50</v>
      </c>
      <c r="L80" t="s">
        <v>41</v>
      </c>
      <c r="M80" t="s">
        <v>340</v>
      </c>
      <c r="P80" t="s">
        <v>282</v>
      </c>
    </row>
    <row r="81" spans="1:16">
      <c r="A81" t="s">
        <v>18</v>
      </c>
      <c r="B81" t="s">
        <v>19</v>
      </c>
      <c r="C81" t="s">
        <v>271</v>
      </c>
      <c r="E81" s="1">
        <v>2.006961322520759</v>
      </c>
      <c r="F81" s="1">
        <v>9.909563016693701</v>
      </c>
      <c r="G81" s="5">
        <v>0.1988810969758638</v>
      </c>
      <c r="H81" s="1">
        <v>2.001632176940356</v>
      </c>
      <c r="I81" t="s">
        <v>86</v>
      </c>
      <c r="L81" t="s">
        <v>41</v>
      </c>
      <c r="M81" t="s">
        <v>341</v>
      </c>
      <c r="P81" t="s">
        <v>282</v>
      </c>
    </row>
    <row r="82" spans="1:16">
      <c r="A82" t="s">
        <v>18</v>
      </c>
      <c r="B82" t="s">
        <v>19</v>
      </c>
      <c r="C82" t="s">
        <v>97</v>
      </c>
      <c r="E82" s="1">
        <v>6.669119043125201</v>
      </c>
      <c r="F82" s="1">
        <v>36.84408719120307</v>
      </c>
      <c r="G82" s="5">
        <v>2.457176035134176</v>
      </c>
      <c r="H82" s="1">
        <v>8.281410187526019</v>
      </c>
      <c r="I82" t="s">
        <v>86</v>
      </c>
      <c r="J82" t="s">
        <v>71</v>
      </c>
      <c r="L82" t="s">
        <v>41</v>
      </c>
      <c r="M82" t="s">
        <v>342</v>
      </c>
      <c r="P82" t="s">
        <v>282</v>
      </c>
    </row>
    <row r="83" spans="1:16">
      <c r="A83" t="s">
        <v>18</v>
      </c>
      <c r="B83" t="s">
        <v>19</v>
      </c>
      <c r="C83" t="s">
        <v>274</v>
      </c>
      <c r="E83" s="1">
        <v>4.45597872985213</v>
      </c>
      <c r="F83" s="1">
        <v>0.5906869920383695</v>
      </c>
      <c r="G83" s="5">
        <v>0.02632088672523277</v>
      </c>
      <c r="H83" s="1">
        <v>4.067341828196448</v>
      </c>
      <c r="I83" t="s">
        <v>86</v>
      </c>
      <c r="L83" t="s">
        <v>41</v>
      </c>
      <c r="M83" t="s">
        <v>343</v>
      </c>
      <c r="P83" t="s">
        <v>282</v>
      </c>
    </row>
    <row r="84" spans="1:16">
      <c r="A84" t="s">
        <v>18</v>
      </c>
      <c r="B84" t="s">
        <v>19</v>
      </c>
      <c r="C84" t="s">
        <v>277</v>
      </c>
      <c r="E84" s="1">
        <v>10.23368909517585</v>
      </c>
      <c r="F84" s="1">
        <v>7.178675268417867</v>
      </c>
      <c r="G84" s="5">
        <v>0.7346433081221645</v>
      </c>
      <c r="H84" s="1">
        <v>9.952917249106546</v>
      </c>
      <c r="I84" t="s">
        <v>86</v>
      </c>
      <c r="L84" t="s">
        <v>41</v>
      </c>
      <c r="M84" t="s">
        <v>344</v>
      </c>
      <c r="P84" t="s">
        <v>282</v>
      </c>
    </row>
    <row r="85" spans="1:16">
      <c r="A85" t="s">
        <v>18</v>
      </c>
      <c r="B85" t="s">
        <v>19</v>
      </c>
      <c r="G85" s="2">
        <v>1.012E-14</v>
      </c>
      <c r="I85" t="s">
        <v>57</v>
      </c>
      <c r="L85" t="s">
        <v>58</v>
      </c>
      <c r="M85" t="s">
        <v>345</v>
      </c>
      <c r="P85" t="s">
        <v>60</v>
      </c>
    </row>
    <row r="86" spans="1:16">
      <c r="A86" t="s">
        <v>18</v>
      </c>
      <c r="B86" t="s">
        <v>19</v>
      </c>
      <c r="C86" t="s">
        <v>61</v>
      </c>
      <c r="G86" s="6">
        <f>SUM(G68:G85)</f>
        <v>10.202186241251244</v>
      </c>
      <c r="I86" t="s">
        <v>64</v>
      </c>
      <c r="K86" s="1">
        <v>15.67973720814175</v>
      </c>
      <c r="L86" t="s">
        <v>62</v>
      </c>
      <c r="M86" t="s">
        <v>346</v>
      </c>
      <c r="N86" s="1">
        <v>10.20218624125124</v>
      </c>
      <c r="O86" s="2">
        <f>G86-N86</f>
        <v>0</v>
      </c>
    </row>
    <row r="87" spans="1:16">
      <c r="A87" t="s">
        <v>20</v>
      </c>
      <c r="B87" t="s">
        <v>21</v>
      </c>
      <c r="C87" t="s">
        <v>239</v>
      </c>
      <c r="E87" s="1">
        <v>4.08869482664513</v>
      </c>
      <c r="F87" s="1">
        <v>36.32443472632194</v>
      </c>
      <c r="G87" s="5">
        <v>1.485195283463213</v>
      </c>
      <c r="H87" s="1">
        <v>3.676038622084013</v>
      </c>
      <c r="I87" t="s">
        <v>86</v>
      </c>
      <c r="L87" t="s">
        <v>41</v>
      </c>
      <c r="M87" t="s">
        <v>347</v>
      </c>
      <c r="P87" t="s">
        <v>282</v>
      </c>
    </row>
    <row r="88" spans="1:16">
      <c r="A88" t="s">
        <v>20</v>
      </c>
      <c r="B88" t="s">
        <v>21</v>
      </c>
      <c r="C88" t="s">
        <v>244</v>
      </c>
      <c r="E88" s="1">
        <v>3.924315274402497</v>
      </c>
      <c r="F88" s="1">
        <v>97.93081845470799</v>
      </c>
      <c r="G88" s="5">
        <v>3.843114066965485</v>
      </c>
      <c r="H88" s="1">
        <v>5.122700607497674</v>
      </c>
      <c r="I88" t="s">
        <v>86</v>
      </c>
      <c r="L88" t="s">
        <v>41</v>
      </c>
      <c r="M88" t="s">
        <v>348</v>
      </c>
      <c r="P88" t="s">
        <v>282</v>
      </c>
    </row>
    <row r="89" spans="1:16">
      <c r="A89" t="s">
        <v>20</v>
      </c>
      <c r="B89" t="s">
        <v>21</v>
      </c>
      <c r="C89" t="s">
        <v>246</v>
      </c>
      <c r="E89" s="1">
        <v>4.35441642069171</v>
      </c>
      <c r="F89" s="1">
        <v>74.07709790268066</v>
      </c>
      <c r="G89" s="5">
        <v>3.2256253150462</v>
      </c>
      <c r="H89" s="1">
        <v>4.999116528517221</v>
      </c>
      <c r="I89" t="s">
        <v>109</v>
      </c>
      <c r="L89" t="s">
        <v>41</v>
      </c>
      <c r="M89" t="s">
        <v>349</v>
      </c>
      <c r="P89" t="s">
        <v>282</v>
      </c>
    </row>
    <row r="90" spans="1:16">
      <c r="A90" t="s">
        <v>20</v>
      </c>
      <c r="B90" t="s">
        <v>21</v>
      </c>
      <c r="C90" t="s">
        <v>350</v>
      </c>
      <c r="E90" s="1">
        <v>10</v>
      </c>
      <c r="F90" s="1">
        <v>39.04722780289666</v>
      </c>
      <c r="G90" s="5">
        <v>3.904722780289668</v>
      </c>
      <c r="H90" s="1">
        <v>9.170309597065716</v>
      </c>
      <c r="I90" t="s">
        <v>86</v>
      </c>
      <c r="L90" t="s">
        <v>41</v>
      </c>
      <c r="M90" t="s">
        <v>351</v>
      </c>
      <c r="P90" t="s">
        <v>282</v>
      </c>
    </row>
    <row r="91" spans="1:16">
      <c r="A91" t="s">
        <v>20</v>
      </c>
      <c r="B91" t="s">
        <v>21</v>
      </c>
      <c r="C91" t="s">
        <v>248</v>
      </c>
      <c r="E91" s="1">
        <v>5.074615440702612</v>
      </c>
      <c r="F91" s="1">
        <v>71.19504473621083</v>
      </c>
      <c r="G91" s="5">
        <v>3.612874733198887</v>
      </c>
      <c r="H91" s="1">
        <v>5.729490315986246</v>
      </c>
      <c r="I91" t="s">
        <v>86</v>
      </c>
      <c r="L91" t="s">
        <v>41</v>
      </c>
      <c r="M91" t="s">
        <v>352</v>
      </c>
      <c r="P91" t="s">
        <v>282</v>
      </c>
    </row>
    <row r="92" spans="1:16">
      <c r="A92" t="s">
        <v>20</v>
      </c>
      <c r="B92" t="s">
        <v>21</v>
      </c>
      <c r="C92" t="s">
        <v>250</v>
      </c>
      <c r="E92" s="1">
        <v>0.8698119962021661</v>
      </c>
      <c r="F92" s="1">
        <v>112.2592995526929</v>
      </c>
      <c r="G92" s="5">
        <v>0.9764448543618477</v>
      </c>
      <c r="H92" s="1">
        <v>1.217625635757032</v>
      </c>
      <c r="I92" t="s">
        <v>86</v>
      </c>
      <c r="L92" t="s">
        <v>41</v>
      </c>
      <c r="M92" t="s">
        <v>353</v>
      </c>
      <c r="P92" t="s">
        <v>282</v>
      </c>
    </row>
    <row r="93" spans="1:16">
      <c r="A93" t="s">
        <v>20</v>
      </c>
      <c r="B93" t="s">
        <v>21</v>
      </c>
      <c r="C93" t="s">
        <v>254</v>
      </c>
      <c r="E93" s="1">
        <v>1.62525341227827</v>
      </c>
      <c r="F93" s="1">
        <v>42.68804029680766</v>
      </c>
      <c r="G93" s="5">
        <v>0.6937888315585897</v>
      </c>
      <c r="H93" s="1">
        <v>1.52943253027695</v>
      </c>
      <c r="I93" t="s">
        <v>86</v>
      </c>
      <c r="L93" t="s">
        <v>41</v>
      </c>
      <c r="M93" t="s">
        <v>354</v>
      </c>
      <c r="P93" t="s">
        <v>282</v>
      </c>
    </row>
    <row r="94" spans="1:16">
      <c r="A94" t="s">
        <v>20</v>
      </c>
      <c r="B94" t="s">
        <v>21</v>
      </c>
      <c r="C94" t="s">
        <v>256</v>
      </c>
      <c r="E94" s="1">
        <v>1.110921131298993</v>
      </c>
      <c r="F94" s="1">
        <v>131.6105257098827</v>
      </c>
      <c r="G94" s="5">
        <v>1.462089141124781</v>
      </c>
      <c r="H94" s="1">
        <v>1.696927092139039</v>
      </c>
      <c r="I94" t="s">
        <v>86</v>
      </c>
      <c r="L94" t="s">
        <v>41</v>
      </c>
      <c r="M94" t="s">
        <v>355</v>
      </c>
      <c r="P94" t="s">
        <v>282</v>
      </c>
    </row>
    <row r="95" spans="1:16">
      <c r="A95" t="s">
        <v>20</v>
      </c>
      <c r="B95" t="s">
        <v>21</v>
      </c>
      <c r="C95" t="s">
        <v>85</v>
      </c>
      <c r="E95" s="1">
        <v>2.093428119197487</v>
      </c>
      <c r="F95" s="1">
        <v>43.74041554650327</v>
      </c>
      <c r="G95" s="5">
        <v>0.9156741585043284</v>
      </c>
      <c r="H95" s="1">
        <v>1.98453431483561</v>
      </c>
      <c r="I95" t="s">
        <v>86</v>
      </c>
      <c r="L95" t="s">
        <v>41</v>
      </c>
      <c r="M95" t="s">
        <v>356</v>
      </c>
      <c r="P95" t="s">
        <v>282</v>
      </c>
    </row>
    <row r="96" spans="1:16">
      <c r="A96" t="s">
        <v>20</v>
      </c>
      <c r="B96" t="s">
        <v>21</v>
      </c>
      <c r="C96" t="s">
        <v>260</v>
      </c>
      <c r="E96" s="1">
        <v>3.369224605808723</v>
      </c>
      <c r="F96" s="1">
        <v>63.57051618095498</v>
      </c>
      <c r="G96" s="5">
        <v>2.14183347320835</v>
      </c>
      <c r="H96" s="1">
        <v>3.634600242705736</v>
      </c>
      <c r="I96" t="s">
        <v>86</v>
      </c>
      <c r="L96" t="s">
        <v>41</v>
      </c>
      <c r="M96" t="s">
        <v>357</v>
      </c>
      <c r="P96" t="s">
        <v>282</v>
      </c>
    </row>
    <row r="97" spans="1:16">
      <c r="A97" t="s">
        <v>20</v>
      </c>
      <c r="B97" t="s">
        <v>21</v>
      </c>
      <c r="C97" t="s">
        <v>264</v>
      </c>
      <c r="E97" s="1">
        <v>5.109561144661098</v>
      </c>
      <c r="F97" s="1">
        <v>44.65655974415726</v>
      </c>
      <c r="G97" s="5">
        <v>2.281754225229828</v>
      </c>
      <c r="H97" s="1">
        <v>4.874649523220344</v>
      </c>
      <c r="I97" t="s">
        <v>109</v>
      </c>
      <c r="L97" t="s">
        <v>41</v>
      </c>
      <c r="M97" t="s">
        <v>358</v>
      </c>
      <c r="P97" t="s">
        <v>282</v>
      </c>
    </row>
    <row r="98" spans="1:16">
      <c r="A98" t="s">
        <v>20</v>
      </c>
      <c r="B98" t="s">
        <v>21</v>
      </c>
      <c r="C98" t="s">
        <v>268</v>
      </c>
      <c r="E98" s="1">
        <v>21.91382099827134</v>
      </c>
      <c r="F98" s="1">
        <v>34.83497553310178</v>
      </c>
      <c r="G98" s="5">
        <v>7.63367418311554</v>
      </c>
      <c r="H98" s="1">
        <v>19.48688103406262</v>
      </c>
      <c r="I98" t="s">
        <v>86</v>
      </c>
      <c r="J98" t="s">
        <v>71</v>
      </c>
      <c r="L98" t="s">
        <v>41</v>
      </c>
      <c r="M98" t="s">
        <v>359</v>
      </c>
      <c r="P98" t="s">
        <v>282</v>
      </c>
    </row>
    <row r="99" spans="1:16">
      <c r="A99" t="s">
        <v>20</v>
      </c>
      <c r="B99" t="s">
        <v>21</v>
      </c>
      <c r="C99" t="s">
        <v>338</v>
      </c>
      <c r="E99" s="1">
        <v>7.141157940416476</v>
      </c>
      <c r="F99" s="1">
        <v>77.40566254246724</v>
      </c>
      <c r="G99" s="5">
        <v>5.527660616983381</v>
      </c>
      <c r="H99" s="1">
        <v>8.355217880725551</v>
      </c>
      <c r="I99" t="s">
        <v>86</v>
      </c>
      <c r="J99" t="s">
        <v>69</v>
      </c>
      <c r="L99" t="s">
        <v>41</v>
      </c>
      <c r="M99" t="s">
        <v>360</v>
      </c>
      <c r="P99" t="s">
        <v>282</v>
      </c>
    </row>
    <row r="100" spans="1:16">
      <c r="A100" t="s">
        <v>20</v>
      </c>
      <c r="B100" t="s">
        <v>21</v>
      </c>
      <c r="C100" t="s">
        <v>111</v>
      </c>
      <c r="E100" s="1">
        <v>7.451807391831059</v>
      </c>
      <c r="F100" s="1">
        <v>107.9676173684259</v>
      </c>
      <c r="G100" s="5">
        <v>8.045538891844233</v>
      </c>
      <c r="H100" s="1">
        <v>10.22066139683783</v>
      </c>
      <c r="I100" t="s">
        <v>86</v>
      </c>
      <c r="J100" t="s">
        <v>79</v>
      </c>
      <c r="L100" t="s">
        <v>41</v>
      </c>
      <c r="M100" t="s">
        <v>361</v>
      </c>
      <c r="P100" t="s">
        <v>282</v>
      </c>
    </row>
    <row r="101" spans="1:16">
      <c r="A101" t="s">
        <v>20</v>
      </c>
      <c r="B101" t="s">
        <v>21</v>
      </c>
      <c r="C101" t="s">
        <v>271</v>
      </c>
      <c r="E101" s="1">
        <v>1.801468959246321</v>
      </c>
      <c r="F101" s="1">
        <v>73.69180277083038</v>
      </c>
      <c r="G101" s="5">
        <v>1.327534952425529</v>
      </c>
      <c r="H101" s="1">
        <v>2.063610692126489</v>
      </c>
      <c r="I101" t="s">
        <v>109</v>
      </c>
      <c r="L101" t="s">
        <v>41</v>
      </c>
      <c r="M101" t="s">
        <v>362</v>
      </c>
      <c r="P101" t="s">
        <v>282</v>
      </c>
    </row>
    <row r="102" spans="1:16">
      <c r="A102" t="s">
        <v>20</v>
      </c>
      <c r="B102" t="s">
        <v>21</v>
      </c>
      <c r="C102" t="s">
        <v>97</v>
      </c>
      <c r="E102" s="1">
        <v>7.453269168773416</v>
      </c>
      <c r="F102" s="1">
        <v>-9.894442070852472</v>
      </c>
      <c r="G102" s="5">
        <v>-0.7374594002889935</v>
      </c>
      <c r="H102" s="1">
        <v>4.429146538563165</v>
      </c>
      <c r="I102" t="s">
        <v>86</v>
      </c>
      <c r="J102" t="s">
        <v>50</v>
      </c>
      <c r="L102" t="s">
        <v>41</v>
      </c>
      <c r="M102" t="s">
        <v>363</v>
      </c>
      <c r="P102" t="s">
        <v>282</v>
      </c>
    </row>
    <row r="103" spans="1:16">
      <c r="A103" t="s">
        <v>20</v>
      </c>
      <c r="B103" t="s">
        <v>21</v>
      </c>
      <c r="C103" t="s">
        <v>274</v>
      </c>
      <c r="E103" s="1">
        <v>3.660607645376803</v>
      </c>
      <c r="F103" s="1">
        <v>89.84608936677114</v>
      </c>
      <c r="G103" s="5">
        <v>3.2889128164321</v>
      </c>
      <c r="H103" s="1">
        <v>4.58328117668543</v>
      </c>
      <c r="I103" t="s">
        <v>109</v>
      </c>
      <c r="L103" t="s">
        <v>41</v>
      </c>
      <c r="M103" t="s">
        <v>364</v>
      </c>
      <c r="P103" t="s">
        <v>282</v>
      </c>
    </row>
    <row r="104" spans="1:16">
      <c r="A104" t="s">
        <v>20</v>
      </c>
      <c r="B104" t="s">
        <v>21</v>
      </c>
      <c r="C104" t="s">
        <v>277</v>
      </c>
      <c r="E104" s="1">
        <v>8.957625524195892</v>
      </c>
      <c r="F104" s="1">
        <v>22.31224695306659</v>
      </c>
      <c r="G104" s="5">
        <v>1.998647528089514</v>
      </c>
      <c r="H104" s="1">
        <v>7.225776270913347</v>
      </c>
      <c r="I104" t="s">
        <v>86</v>
      </c>
      <c r="L104" t="s">
        <v>41</v>
      </c>
      <c r="M104" t="s">
        <v>365</v>
      </c>
      <c r="P104" t="s">
        <v>282</v>
      </c>
    </row>
    <row r="105" spans="1:16">
      <c r="A105" t="s">
        <v>20</v>
      </c>
      <c r="B105" t="s">
        <v>21</v>
      </c>
      <c r="G105" s="2">
        <v>-1.7E-15</v>
      </c>
      <c r="I105" t="s">
        <v>57</v>
      </c>
      <c r="L105" t="s">
        <v>58</v>
      </c>
      <c r="M105" t="s">
        <v>366</v>
      </c>
      <c r="P105" t="s">
        <v>60</v>
      </c>
    </row>
    <row r="106" spans="1:16">
      <c r="A106" t="s">
        <v>20</v>
      </c>
      <c r="B106" t="s">
        <v>21</v>
      </c>
      <c r="C106" t="s">
        <v>61</v>
      </c>
      <c r="G106" s="6">
        <f>SUM(G87:G105)</f>
        <v>51.62762645155248</v>
      </c>
      <c r="I106" t="s">
        <v>64</v>
      </c>
      <c r="K106" s="1">
        <v>38.76264868231611</v>
      </c>
      <c r="L106" t="s">
        <v>62</v>
      </c>
      <c r="M106" t="s">
        <v>367</v>
      </c>
      <c r="N106" s="1">
        <v>51.62762645155248</v>
      </c>
      <c r="O106" s="2">
        <f>G106-N106</f>
        <v>0</v>
      </c>
    </row>
    <row r="107" spans="1:16">
      <c r="A107" t="s">
        <v>22</v>
      </c>
      <c r="B107" t="s">
        <v>23</v>
      </c>
      <c r="C107" t="s">
        <v>239</v>
      </c>
      <c r="E107" s="1">
        <v>3.430969380611745</v>
      </c>
      <c r="F107" s="1">
        <v>-22.74609922178128</v>
      </c>
      <c r="G107" s="5">
        <v>-0.7804116995828821</v>
      </c>
      <c r="H107" s="1">
        <v>2.807434530522308</v>
      </c>
      <c r="I107" t="s">
        <v>86</v>
      </c>
      <c r="L107" t="s">
        <v>41</v>
      </c>
      <c r="M107" t="s">
        <v>368</v>
      </c>
      <c r="P107" t="s">
        <v>282</v>
      </c>
    </row>
    <row r="108" spans="1:16">
      <c r="A108" t="s">
        <v>22</v>
      </c>
      <c r="B108" t="s">
        <v>23</v>
      </c>
      <c r="C108" t="s">
        <v>244</v>
      </c>
      <c r="E108" s="1">
        <v>4.781187233664495</v>
      </c>
      <c r="F108" s="1">
        <v>-37.89111234558391</v>
      </c>
      <c r="G108" s="5">
        <v>-1.811645026160529</v>
      </c>
      <c r="H108" s="1">
        <v>3.145298588617771</v>
      </c>
      <c r="I108" t="s">
        <v>86</v>
      </c>
      <c r="J108" t="s">
        <v>53</v>
      </c>
      <c r="L108" t="s">
        <v>41</v>
      </c>
      <c r="M108" t="s">
        <v>369</v>
      </c>
      <c r="P108" t="s">
        <v>282</v>
      </c>
    </row>
    <row r="109" spans="1:16">
      <c r="A109" t="s">
        <v>22</v>
      </c>
      <c r="B109" t="s">
        <v>23</v>
      </c>
      <c r="C109" t="s">
        <v>246</v>
      </c>
      <c r="E109" s="1">
        <v>4.665842093282739</v>
      </c>
      <c r="F109" s="1">
        <v>-35.88439938793194</v>
      </c>
      <c r="G109" s="5">
        <v>-1.674309411563822</v>
      </c>
      <c r="H109" s="1">
        <v>3.1685905988598</v>
      </c>
      <c r="I109" t="s">
        <v>109</v>
      </c>
      <c r="L109" t="s">
        <v>41</v>
      </c>
      <c r="M109" t="s">
        <v>370</v>
      </c>
      <c r="P109" t="s">
        <v>282</v>
      </c>
    </row>
    <row r="110" spans="1:16">
      <c r="A110" t="s">
        <v>22</v>
      </c>
      <c r="B110" t="s">
        <v>23</v>
      </c>
      <c r="C110" t="s">
        <v>350</v>
      </c>
      <c r="E110" s="1">
        <v>8.558955623928002</v>
      </c>
      <c r="F110" s="1">
        <v>-11.12302243621699</v>
      </c>
      <c r="G110" s="5">
        <v>-0.952014554355367</v>
      </c>
      <c r="H110" s="1">
        <v>8.057168188875931</v>
      </c>
      <c r="I110" t="s">
        <v>86</v>
      </c>
      <c r="L110" t="s">
        <v>41</v>
      </c>
      <c r="M110" t="s">
        <v>371</v>
      </c>
      <c r="P110" t="s">
        <v>282</v>
      </c>
    </row>
    <row r="111" spans="1:16">
      <c r="A111" t="s">
        <v>22</v>
      </c>
      <c r="B111" t="s">
        <v>23</v>
      </c>
      <c r="C111" t="s">
        <v>248</v>
      </c>
      <c r="E111" s="1">
        <v>5.347524294920496</v>
      </c>
      <c r="F111" s="1">
        <v>-39.89682954953493</v>
      </c>
      <c r="G111" s="5">
        <v>-2.1334926530644</v>
      </c>
      <c r="H111" s="1">
        <v>3.40425846157613</v>
      </c>
      <c r="I111" t="s">
        <v>86</v>
      </c>
      <c r="J111" t="s">
        <v>45</v>
      </c>
      <c r="L111" t="s">
        <v>41</v>
      </c>
      <c r="M111" t="s">
        <v>372</v>
      </c>
      <c r="P111" t="s">
        <v>282</v>
      </c>
    </row>
    <row r="112" spans="1:16">
      <c r="A112" t="s">
        <v>22</v>
      </c>
      <c r="B112" t="s">
        <v>23</v>
      </c>
      <c r="C112" t="s">
        <v>250</v>
      </c>
      <c r="E112" s="1">
        <v>1.13645059337323</v>
      </c>
      <c r="F112" s="1">
        <v>-24.30429359172362</v>
      </c>
      <c r="G112" s="5">
        <v>-0.276206288738315</v>
      </c>
      <c r="H112" s="1">
        <v>0.9111590299667632</v>
      </c>
      <c r="I112" t="s">
        <v>86</v>
      </c>
      <c r="L112" t="s">
        <v>41</v>
      </c>
      <c r="M112" t="s">
        <v>373</v>
      </c>
      <c r="P112" t="s">
        <v>282</v>
      </c>
    </row>
    <row r="113" spans="1:16">
      <c r="A113" t="s">
        <v>22</v>
      </c>
      <c r="B113" t="s">
        <v>23</v>
      </c>
      <c r="C113" t="s">
        <v>254</v>
      </c>
      <c r="E113" s="1">
        <v>1.427470361591819</v>
      </c>
      <c r="F113" s="1">
        <v>0.7558330594807705</v>
      </c>
      <c r="G113" s="5">
        <v>0.01078929290720067</v>
      </c>
      <c r="H113" s="1">
        <v>1.523385001880162</v>
      </c>
      <c r="I113" t="s">
        <v>161</v>
      </c>
      <c r="L113" t="s">
        <v>41</v>
      </c>
      <c r="M113" t="s">
        <v>374</v>
      </c>
      <c r="P113" t="s">
        <v>282</v>
      </c>
    </row>
    <row r="114" spans="1:16">
      <c r="A114" t="s">
        <v>22</v>
      </c>
      <c r="B114" t="s">
        <v>23</v>
      </c>
      <c r="C114" t="s">
        <v>256</v>
      </c>
      <c r="E114" s="1">
        <v>1.58379861932977</v>
      </c>
      <c r="F114" s="1">
        <v>29.76006488323783</v>
      </c>
      <c r="G114" s="5">
        <v>0.4713394967323645</v>
      </c>
      <c r="H114" s="1">
        <v>2.176774251441982</v>
      </c>
      <c r="I114" t="s">
        <v>86</v>
      </c>
      <c r="L114" t="s">
        <v>41</v>
      </c>
      <c r="M114" t="s">
        <v>375</v>
      </c>
      <c r="P114" t="s">
        <v>282</v>
      </c>
    </row>
    <row r="115" spans="1:16">
      <c r="A115" t="s">
        <v>22</v>
      </c>
      <c r="B115" t="s">
        <v>23</v>
      </c>
      <c r="C115" t="s">
        <v>85</v>
      </c>
      <c r="E115" s="1">
        <v>1.852232027179903</v>
      </c>
      <c r="F115" s="1">
        <v>-5.013455595010907</v>
      </c>
      <c r="G115" s="5">
        <v>-0.09286083019923483</v>
      </c>
      <c r="H115" s="1">
        <v>1.863501966307938</v>
      </c>
      <c r="I115" t="s">
        <v>86</v>
      </c>
      <c r="L115" t="s">
        <v>41</v>
      </c>
      <c r="M115" t="s">
        <v>376</v>
      </c>
      <c r="P115" t="s">
        <v>282</v>
      </c>
    </row>
    <row r="116" spans="1:16">
      <c r="A116" t="s">
        <v>22</v>
      </c>
      <c r="B116" t="s">
        <v>23</v>
      </c>
      <c r="C116" t="s">
        <v>260</v>
      </c>
      <c r="E116" s="1">
        <v>3.392293559858687</v>
      </c>
      <c r="F116" s="1">
        <v>26.47058823529411</v>
      </c>
      <c r="G116" s="5">
        <v>0.8979600599625932</v>
      </c>
      <c r="H116" s="1">
        <v>4.544178096252277</v>
      </c>
      <c r="I116" t="s">
        <v>377</v>
      </c>
      <c r="L116" t="s">
        <v>41</v>
      </c>
      <c r="M116" t="s">
        <v>378</v>
      </c>
      <c r="P116" t="s">
        <v>282</v>
      </c>
    </row>
    <row r="117" spans="1:16">
      <c r="A117" t="s">
        <v>22</v>
      </c>
      <c r="B117" t="s">
        <v>23</v>
      </c>
      <c r="C117" t="s">
        <v>379</v>
      </c>
      <c r="E117" s="1">
        <v>6.666666666666667</v>
      </c>
      <c r="F117" s="1">
        <v>-66.30347828408134</v>
      </c>
      <c r="G117" s="5">
        <v>-4.420231885605421</v>
      </c>
      <c r="H117" s="1">
        <v>2.379393068884126</v>
      </c>
      <c r="I117" t="s">
        <v>109</v>
      </c>
      <c r="J117" t="s">
        <v>50</v>
      </c>
      <c r="L117" t="s">
        <v>41</v>
      </c>
      <c r="M117" t="s">
        <v>380</v>
      </c>
      <c r="P117" t="s">
        <v>282</v>
      </c>
    </row>
    <row r="118" spans="1:16">
      <c r="A118" t="s">
        <v>22</v>
      </c>
      <c r="B118" t="s">
        <v>23</v>
      </c>
      <c r="C118" t="s">
        <v>264</v>
      </c>
      <c r="E118" s="1">
        <v>4.549672888338988</v>
      </c>
      <c r="F118" s="1">
        <v>-25.47732024524607</v>
      </c>
      <c r="G118" s="5">
        <v>-1.159134731873261</v>
      </c>
      <c r="H118" s="1">
        <v>3.591211753528211</v>
      </c>
      <c r="I118" t="s">
        <v>86</v>
      </c>
      <c r="L118" t="s">
        <v>41</v>
      </c>
      <c r="M118" t="s">
        <v>381</v>
      </c>
      <c r="P118" t="s">
        <v>282</v>
      </c>
    </row>
    <row r="119" spans="1:16">
      <c r="A119" t="s">
        <v>22</v>
      </c>
      <c r="B119" t="s">
        <v>23</v>
      </c>
      <c r="C119" t="s">
        <v>268</v>
      </c>
      <c r="E119" s="1">
        <v>18.18775563179177</v>
      </c>
      <c r="F119" s="1">
        <v>2.126233140189049</v>
      </c>
      <c r="G119" s="5">
        <v>0.3867140876997557</v>
      </c>
      <c r="H119" s="1">
        <v>19.67382488971145</v>
      </c>
      <c r="I119" t="s">
        <v>86</v>
      </c>
      <c r="L119" t="s">
        <v>41</v>
      </c>
      <c r="M119" t="s">
        <v>382</v>
      </c>
      <c r="P119" t="s">
        <v>282</v>
      </c>
    </row>
    <row r="120" spans="1:16">
      <c r="A120" t="s">
        <v>22</v>
      </c>
      <c r="B120" t="s">
        <v>23</v>
      </c>
      <c r="C120" t="s">
        <v>338</v>
      </c>
      <c r="E120" s="1">
        <v>7.798203355343849</v>
      </c>
      <c r="F120" s="1">
        <v>33.3909534092075</v>
      </c>
      <c r="G120" s="5">
        <v>2.603894449138121</v>
      </c>
      <c r="H120" s="1">
        <v>11.0177600643036</v>
      </c>
      <c r="I120" t="s">
        <v>109</v>
      </c>
      <c r="J120" t="s">
        <v>79</v>
      </c>
      <c r="L120" t="s">
        <v>41</v>
      </c>
      <c r="M120" t="s">
        <v>383</v>
      </c>
      <c r="P120" t="s">
        <v>282</v>
      </c>
    </row>
    <row r="121" spans="1:16">
      <c r="A121" t="s">
        <v>22</v>
      </c>
      <c r="B121" t="s">
        <v>23</v>
      </c>
      <c r="C121" t="s">
        <v>111</v>
      </c>
      <c r="E121" s="1">
        <v>9.539283970381977</v>
      </c>
      <c r="F121" s="1">
        <v>26.14056569458887</v>
      </c>
      <c r="G121" s="5">
        <v>2.493622793071086</v>
      </c>
      <c r="H121" s="1">
        <v>12.74509066226418</v>
      </c>
      <c r="I121" t="s">
        <v>86</v>
      </c>
      <c r="J121" t="s">
        <v>71</v>
      </c>
      <c r="L121" t="s">
        <v>41</v>
      </c>
      <c r="M121" t="s">
        <v>384</v>
      </c>
      <c r="P121" t="s">
        <v>282</v>
      </c>
    </row>
    <row r="122" spans="1:16">
      <c r="A122" t="s">
        <v>22</v>
      </c>
      <c r="B122" t="s">
        <v>23</v>
      </c>
      <c r="C122" t="s">
        <v>271</v>
      </c>
      <c r="E122" s="1">
        <v>1.926036645984723</v>
      </c>
      <c r="F122" s="1">
        <v>0.04479229173142141</v>
      </c>
      <c r="G122" s="5">
        <v>0.0008627159533233581</v>
      </c>
      <c r="H122" s="1">
        <v>2.040945512812391</v>
      </c>
      <c r="I122" t="s">
        <v>86</v>
      </c>
      <c r="L122" t="s">
        <v>41</v>
      </c>
      <c r="M122" t="s">
        <v>385</v>
      </c>
      <c r="P122" t="s">
        <v>282</v>
      </c>
    </row>
    <row r="123" spans="1:16">
      <c r="A123" t="s">
        <v>22</v>
      </c>
      <c r="B123" t="s">
        <v>23</v>
      </c>
      <c r="C123" t="s">
        <v>97</v>
      </c>
      <c r="E123" s="1">
        <v>4.133870102658954</v>
      </c>
      <c r="F123" s="1">
        <v>26.12891453856567</v>
      </c>
      <c r="G123" s="5">
        <v>1.080135386259075</v>
      </c>
      <c r="H123" s="1">
        <v>5.522603471975498</v>
      </c>
      <c r="I123" t="s">
        <v>86</v>
      </c>
      <c r="J123" t="s">
        <v>69</v>
      </c>
      <c r="L123" t="s">
        <v>41</v>
      </c>
      <c r="M123" t="s">
        <v>386</v>
      </c>
      <c r="P123" t="s">
        <v>282</v>
      </c>
    </row>
    <row r="124" spans="1:16">
      <c r="A124" t="s">
        <v>22</v>
      </c>
      <c r="B124" t="s">
        <v>23</v>
      </c>
      <c r="C124" t="s">
        <v>274</v>
      </c>
      <c r="E124" s="1">
        <v>4.277729098239734</v>
      </c>
      <c r="F124" s="1">
        <v>-8.753520024254213</v>
      </c>
      <c r="G124" s="5">
        <v>-0.3744518731977645</v>
      </c>
      <c r="H124" s="1">
        <v>4.134297978956072</v>
      </c>
      <c r="I124" t="s">
        <v>86</v>
      </c>
      <c r="L124" t="s">
        <v>41</v>
      </c>
      <c r="M124" t="s">
        <v>387</v>
      </c>
      <c r="P124" t="s">
        <v>282</v>
      </c>
    </row>
    <row r="125" spans="1:16">
      <c r="A125" t="s">
        <v>22</v>
      </c>
      <c r="B125" t="s">
        <v>23</v>
      </c>
      <c r="C125" t="s">
        <v>277</v>
      </c>
      <c r="E125" s="1">
        <v>6.744057852852456</v>
      </c>
      <c r="F125" s="1">
        <v>2.098632671308676</v>
      </c>
      <c r="G125" s="5">
        <v>0.1415330014719199</v>
      </c>
      <c r="H125" s="1">
        <v>7.2931238832634</v>
      </c>
      <c r="I125" t="s">
        <v>86</v>
      </c>
      <c r="L125" t="s">
        <v>41</v>
      </c>
      <c r="M125" t="s">
        <v>388</v>
      </c>
      <c r="P125" t="s">
        <v>282</v>
      </c>
    </row>
    <row r="126" spans="1:16">
      <c r="A126" t="s">
        <v>22</v>
      </c>
      <c r="B126" t="s">
        <v>23</v>
      </c>
      <c r="G126" s="2">
        <v>4.7759E-15</v>
      </c>
      <c r="I126" t="s">
        <v>57</v>
      </c>
      <c r="L126" t="s">
        <v>58</v>
      </c>
      <c r="M126" t="s">
        <v>389</v>
      </c>
      <c r="P126" t="s">
        <v>60</v>
      </c>
    </row>
    <row r="127" spans="1:16">
      <c r="A127" t="s">
        <v>22</v>
      </c>
      <c r="B127" t="s">
        <v>23</v>
      </c>
      <c r="C127" t="s">
        <v>61</v>
      </c>
      <c r="G127" s="6">
        <f>SUM(G107:G126)</f>
        <v>-5.587907671145553</v>
      </c>
      <c r="I127" t="s">
        <v>64</v>
      </c>
      <c r="K127" s="1">
        <v>-5.854752830622212</v>
      </c>
      <c r="L127" t="s">
        <v>62</v>
      </c>
      <c r="M127" t="s">
        <v>390</v>
      </c>
      <c r="N127" s="1">
        <v>-5.587907671145553</v>
      </c>
      <c r="O127" s="2">
        <f>G127-N127</f>
        <v>0</v>
      </c>
    </row>
    <row r="128" spans="1:16">
      <c r="A128" t="s">
        <v>24</v>
      </c>
      <c r="B128" t="s">
        <v>25</v>
      </c>
      <c r="C128" t="s">
        <v>239</v>
      </c>
      <c r="E128" s="1">
        <v>2.565777750909003</v>
      </c>
      <c r="F128" s="1">
        <v>18.27555204343911</v>
      </c>
      <c r="G128" s="5">
        <v>0.4689100481863567</v>
      </c>
      <c r="H128" s="1">
        <v>3.077256005478484</v>
      </c>
      <c r="I128" t="s">
        <v>86</v>
      </c>
      <c r="L128" t="s">
        <v>41</v>
      </c>
      <c r="M128" t="s">
        <v>391</v>
      </c>
      <c r="P128" t="s">
        <v>282</v>
      </c>
    </row>
    <row r="129" spans="1:16">
      <c r="A129" t="s">
        <v>24</v>
      </c>
      <c r="B129" t="s">
        <v>25</v>
      </c>
      <c r="C129" t="s">
        <v>244</v>
      </c>
      <c r="E129" s="1">
        <v>2.874559335543815</v>
      </c>
      <c r="F129" s="1">
        <v>6.259091333784639</v>
      </c>
      <c r="G129" s="5">
        <v>0.1799212942555203</v>
      </c>
      <c r="H129" s="1">
        <v>3.097326474397027</v>
      </c>
      <c r="I129" t="s">
        <v>86</v>
      </c>
      <c r="L129" t="s">
        <v>41</v>
      </c>
      <c r="M129" t="s">
        <v>392</v>
      </c>
      <c r="P129" t="s">
        <v>282</v>
      </c>
    </row>
    <row r="130" spans="1:16">
      <c r="A130" t="s">
        <v>24</v>
      </c>
      <c r="B130" t="s">
        <v>25</v>
      </c>
      <c r="C130" t="s">
        <v>246</v>
      </c>
      <c r="E130" s="1">
        <v>2.89584642915302</v>
      </c>
      <c r="F130" s="1">
        <v>40.2800783446614</v>
      </c>
      <c r="G130" s="5">
        <v>1.166449210403916</v>
      </c>
      <c r="H130" s="1">
        <v>4.119278318047116</v>
      </c>
      <c r="I130" t="s">
        <v>109</v>
      </c>
      <c r="L130" t="s">
        <v>41</v>
      </c>
      <c r="M130" t="s">
        <v>393</v>
      </c>
      <c r="P130" t="s">
        <v>282</v>
      </c>
    </row>
    <row r="131" spans="1:16">
      <c r="A131" t="s">
        <v>24</v>
      </c>
      <c r="B131" t="s">
        <v>25</v>
      </c>
      <c r="C131" t="s">
        <v>350</v>
      </c>
      <c r="E131" s="1">
        <v>7.363627771046747</v>
      </c>
      <c r="F131" s="1">
        <v>-11.07337901630256</v>
      </c>
      <c r="G131" s="5">
        <v>-0.8154024124377187</v>
      </c>
      <c r="H131" s="1">
        <v>6.64007869805026</v>
      </c>
      <c r="I131" t="s">
        <v>86</v>
      </c>
      <c r="L131" t="s">
        <v>41</v>
      </c>
      <c r="M131" t="s">
        <v>394</v>
      </c>
      <c r="P131" t="s">
        <v>282</v>
      </c>
    </row>
    <row r="132" spans="1:16">
      <c r="A132" t="s">
        <v>24</v>
      </c>
      <c r="B132" t="s">
        <v>25</v>
      </c>
      <c r="C132" t="s">
        <v>248</v>
      </c>
      <c r="E132" s="1">
        <v>3.111228605366882</v>
      </c>
      <c r="F132" s="1">
        <v>3.516318324810475</v>
      </c>
      <c r="G132" s="5">
        <v>0.109400701577261</v>
      </c>
      <c r="H132" s="1">
        <v>3.265805754110274</v>
      </c>
      <c r="I132" t="s">
        <v>90</v>
      </c>
      <c r="L132" t="s">
        <v>41</v>
      </c>
      <c r="M132" t="s">
        <v>395</v>
      </c>
      <c r="P132" t="s">
        <v>282</v>
      </c>
    </row>
    <row r="133" spans="1:16">
      <c r="A133" t="s">
        <v>24</v>
      </c>
      <c r="B133" t="s">
        <v>25</v>
      </c>
      <c r="C133" t="s">
        <v>250</v>
      </c>
      <c r="E133" s="1">
        <v>0.8327287925013909</v>
      </c>
      <c r="F133" s="1">
        <v>40.23458121626096</v>
      </c>
      <c r="G133" s="5">
        <v>0.3350449423301613</v>
      </c>
      <c r="H133" s="1">
        <v>1.184154343528078</v>
      </c>
      <c r="I133" t="s">
        <v>109</v>
      </c>
      <c r="L133" t="s">
        <v>41</v>
      </c>
      <c r="M133" t="s">
        <v>396</v>
      </c>
      <c r="P133" t="s">
        <v>282</v>
      </c>
    </row>
    <row r="134" spans="1:16">
      <c r="A134" t="s">
        <v>24</v>
      </c>
      <c r="B134" t="s">
        <v>25</v>
      </c>
      <c r="C134" t="s">
        <v>252</v>
      </c>
      <c r="E134" s="1">
        <v>2.222222222222223</v>
      </c>
      <c r="F134" s="1">
        <v>11.13490112618283</v>
      </c>
      <c r="G134" s="5">
        <v>0.2474422472485072</v>
      </c>
      <c r="H134" s="1">
        <v>2.504306974332296</v>
      </c>
      <c r="I134" t="s">
        <v>90</v>
      </c>
      <c r="L134" t="s">
        <v>41</v>
      </c>
      <c r="M134" t="s">
        <v>397</v>
      </c>
      <c r="P134" t="s">
        <v>282</v>
      </c>
    </row>
    <row r="135" spans="1:16">
      <c r="A135" t="s">
        <v>24</v>
      </c>
      <c r="B135" t="s">
        <v>25</v>
      </c>
      <c r="C135" t="s">
        <v>256</v>
      </c>
      <c r="E135" s="1">
        <v>1.98940309466891</v>
      </c>
      <c r="F135" s="1">
        <v>4.546846478379929</v>
      </c>
      <c r="G135" s="5">
        <v>0.09045510455073461</v>
      </c>
      <c r="H135" s="1">
        <v>2.109032809239959</v>
      </c>
      <c r="I135" t="s">
        <v>109</v>
      </c>
      <c r="L135" t="s">
        <v>41</v>
      </c>
      <c r="M135" t="s">
        <v>398</v>
      </c>
      <c r="P135" t="s">
        <v>282</v>
      </c>
    </row>
    <row r="136" spans="1:16">
      <c r="A136" t="s">
        <v>24</v>
      </c>
      <c r="B136" t="s">
        <v>25</v>
      </c>
      <c r="C136" t="s">
        <v>85</v>
      </c>
      <c r="E136" s="1">
        <v>1.703096486114155</v>
      </c>
      <c r="F136" s="1">
        <v>6.892364133693185</v>
      </c>
      <c r="G136" s="5">
        <v>0.1173836113711211</v>
      </c>
      <c r="H136" s="1">
        <v>1.846016356117621</v>
      </c>
      <c r="I136" t="s">
        <v>86</v>
      </c>
      <c r="L136" t="s">
        <v>41</v>
      </c>
      <c r="M136" t="s">
        <v>399</v>
      </c>
      <c r="P136" t="s">
        <v>282</v>
      </c>
    </row>
    <row r="137" spans="1:16">
      <c r="A137" t="s">
        <v>24</v>
      </c>
      <c r="B137" t="s">
        <v>25</v>
      </c>
      <c r="C137" t="s">
        <v>260</v>
      </c>
      <c r="E137" s="1">
        <v>4.153026875167402</v>
      </c>
      <c r="F137" s="1">
        <v>11.49546371487748</v>
      </c>
      <c r="G137" s="5">
        <v>0.477409697503979</v>
      </c>
      <c r="H137" s="1">
        <v>4.695388683965398</v>
      </c>
      <c r="I137" t="s">
        <v>86</v>
      </c>
      <c r="L137" t="s">
        <v>41</v>
      </c>
      <c r="M137" t="s">
        <v>400</v>
      </c>
      <c r="P137" t="s">
        <v>282</v>
      </c>
    </row>
    <row r="138" spans="1:16">
      <c r="A138" t="s">
        <v>24</v>
      </c>
      <c r="B138" t="s">
        <v>25</v>
      </c>
      <c r="C138" t="s">
        <v>379</v>
      </c>
      <c r="D138" t="s">
        <v>401</v>
      </c>
      <c r="E138" s="1">
        <v>2.174581002846817</v>
      </c>
      <c r="F138" s="1">
        <v>-42.44258996664328</v>
      </c>
      <c r="G138" s="5">
        <v>-0.9229484985307942</v>
      </c>
      <c r="H138" s="1">
        <v>1.269189417674766</v>
      </c>
      <c r="I138" t="s">
        <v>402</v>
      </c>
      <c r="J138" t="s">
        <v>53</v>
      </c>
      <c r="L138" t="s">
        <v>41</v>
      </c>
      <c r="M138" t="s">
        <v>403</v>
      </c>
      <c r="P138" t="s">
        <v>282</v>
      </c>
    </row>
    <row r="139" spans="1:16">
      <c r="A139" t="s">
        <v>24</v>
      </c>
      <c r="B139" t="s">
        <v>25</v>
      </c>
      <c r="C139" t="s">
        <v>264</v>
      </c>
      <c r="E139" s="1">
        <v>3.282089436397766</v>
      </c>
      <c r="F139" s="1">
        <v>19.92874473784674</v>
      </c>
      <c r="G139" s="5">
        <v>0.6540792258475432</v>
      </c>
      <c r="H139" s="1">
        <v>3.991382130999226</v>
      </c>
      <c r="I139" t="s">
        <v>86</v>
      </c>
      <c r="L139" t="s">
        <v>41</v>
      </c>
      <c r="M139" t="s">
        <v>404</v>
      </c>
      <c r="P139" t="s">
        <v>282</v>
      </c>
    </row>
    <row r="140" spans="1:16">
      <c r="A140" t="s">
        <v>24</v>
      </c>
      <c r="B140" t="s">
        <v>25</v>
      </c>
      <c r="C140" t="s">
        <v>405</v>
      </c>
      <c r="E140" s="1">
        <v>2.222222222222223</v>
      </c>
      <c r="F140" s="1">
        <v>-7.05186344333012</v>
      </c>
      <c r="G140" s="5">
        <v>-0.156708076518447</v>
      </c>
      <c r="H140" s="1">
        <v>2.09448754865738</v>
      </c>
      <c r="I140" t="s">
        <v>86</v>
      </c>
      <c r="L140" t="s">
        <v>41</v>
      </c>
      <c r="M140" t="s">
        <v>406</v>
      </c>
      <c r="P140" t="s">
        <v>282</v>
      </c>
    </row>
    <row r="141" spans="1:16">
      <c r="A141" t="s">
        <v>24</v>
      </c>
      <c r="B141" t="s">
        <v>25</v>
      </c>
      <c r="C141" t="s">
        <v>268</v>
      </c>
      <c r="E141" s="1">
        <v>17.98035239237089</v>
      </c>
      <c r="F141" s="1">
        <v>11.21527795214339</v>
      </c>
      <c r="G141" s="5">
        <v>2.01654649757926</v>
      </c>
      <c r="H141" s="1">
        <v>20.2773996120421</v>
      </c>
      <c r="I141" t="s">
        <v>86</v>
      </c>
      <c r="J141" t="s">
        <v>79</v>
      </c>
      <c r="L141" t="s">
        <v>41</v>
      </c>
      <c r="M141" t="s">
        <v>407</v>
      </c>
      <c r="P141" t="s">
        <v>282</v>
      </c>
    </row>
    <row r="142" spans="1:16">
      <c r="A142" t="s">
        <v>24</v>
      </c>
      <c r="B142" t="s">
        <v>25</v>
      </c>
      <c r="C142" t="s">
        <v>408</v>
      </c>
      <c r="E142" s="1">
        <v>3.333333333333333</v>
      </c>
      <c r="F142" s="1">
        <v>54.66523164927748</v>
      </c>
      <c r="G142" s="5">
        <v>1.822174388309249</v>
      </c>
      <c r="H142" s="1">
        <v>5.227825116786192</v>
      </c>
      <c r="I142" t="s">
        <v>86</v>
      </c>
      <c r="J142" t="s">
        <v>71</v>
      </c>
      <c r="L142" t="s">
        <v>41</v>
      </c>
      <c r="M142" t="s">
        <v>409</v>
      </c>
      <c r="P142" t="s">
        <v>282</v>
      </c>
    </row>
    <row r="143" spans="1:16">
      <c r="A143" t="s">
        <v>24</v>
      </c>
      <c r="B143" t="s">
        <v>25</v>
      </c>
      <c r="C143" t="s">
        <v>338</v>
      </c>
      <c r="E143" s="1">
        <v>10.06937947457126</v>
      </c>
      <c r="F143" s="1">
        <v>-30.82185993499523</v>
      </c>
      <c r="G143" s="5">
        <v>-3.103570037975513</v>
      </c>
      <c r="H143" s="1">
        <v>7.063520316051259</v>
      </c>
      <c r="I143" t="s">
        <v>86</v>
      </c>
      <c r="J143" t="s">
        <v>45</v>
      </c>
      <c r="L143" t="s">
        <v>41</v>
      </c>
      <c r="M143" t="s">
        <v>410</v>
      </c>
      <c r="P143" t="s">
        <v>282</v>
      </c>
    </row>
    <row r="144" spans="1:16">
      <c r="A144" t="s">
        <v>24</v>
      </c>
      <c r="B144" t="s">
        <v>25</v>
      </c>
      <c r="C144" t="s">
        <v>111</v>
      </c>
      <c r="E144" s="1">
        <v>11.64802587523623</v>
      </c>
      <c r="F144" s="1">
        <v>-36.01346042749856</v>
      </c>
      <c r="G144" s="5">
        <v>-4.194857189162994</v>
      </c>
      <c r="H144" s="1">
        <v>7.557715856603127</v>
      </c>
      <c r="I144" t="s">
        <v>86</v>
      </c>
      <c r="J144" t="s">
        <v>50</v>
      </c>
      <c r="L144" t="s">
        <v>41</v>
      </c>
      <c r="M144" t="s">
        <v>411</v>
      </c>
      <c r="P144" t="s">
        <v>282</v>
      </c>
    </row>
    <row r="145" spans="1:16">
      <c r="A145" t="s">
        <v>24</v>
      </c>
      <c r="B145" t="s">
        <v>25</v>
      </c>
      <c r="C145" t="s">
        <v>271</v>
      </c>
      <c r="E145" s="1">
        <v>1.865266146248246</v>
      </c>
      <c r="F145" s="1">
        <v>-1.46124357077172</v>
      </c>
      <c r="G145" s="5">
        <v>-0.02725608163983397</v>
      </c>
      <c r="H145" s="1">
        <v>1.863792219790185</v>
      </c>
      <c r="I145" t="s">
        <v>86</v>
      </c>
      <c r="L145" t="s">
        <v>41</v>
      </c>
      <c r="M145" t="s">
        <v>412</v>
      </c>
      <c r="P145" t="s">
        <v>282</v>
      </c>
    </row>
    <row r="146" spans="1:16">
      <c r="A146" t="s">
        <v>24</v>
      </c>
      <c r="B146" t="s">
        <v>25</v>
      </c>
      <c r="C146" t="s">
        <v>413</v>
      </c>
      <c r="D146" t="s">
        <v>414</v>
      </c>
      <c r="E146" s="1">
        <v>2.222222222222223</v>
      </c>
      <c r="F146" s="1">
        <v>-2.082679441690261</v>
      </c>
      <c r="G146" s="5">
        <v>-0.04628176537089471</v>
      </c>
      <c r="H146" s="1">
        <v>2.206462832982489</v>
      </c>
      <c r="I146" t="s">
        <v>293</v>
      </c>
      <c r="L146" t="s">
        <v>41</v>
      </c>
      <c r="M146" t="s">
        <v>415</v>
      </c>
      <c r="P146" t="s">
        <v>282</v>
      </c>
    </row>
    <row r="147" spans="1:16">
      <c r="A147" t="s">
        <v>24</v>
      </c>
      <c r="B147" t="s">
        <v>25</v>
      </c>
      <c r="C147" t="s">
        <v>97</v>
      </c>
      <c r="D147" t="s">
        <v>416</v>
      </c>
      <c r="E147" s="1">
        <v>5.047231898530271</v>
      </c>
      <c r="F147" s="1">
        <v>-15.09695236395866</v>
      </c>
      <c r="G147" s="5">
        <v>-0.7619781954196414</v>
      </c>
      <c r="H147" s="1">
        <v>4.345363861424916</v>
      </c>
      <c r="I147" t="s">
        <v>293</v>
      </c>
      <c r="L147" t="s">
        <v>41</v>
      </c>
      <c r="M147" t="s">
        <v>417</v>
      </c>
      <c r="P147" t="s">
        <v>282</v>
      </c>
    </row>
    <row r="148" spans="1:16">
      <c r="A148" t="s">
        <v>24</v>
      </c>
      <c r="B148" t="s">
        <v>25</v>
      </c>
      <c r="C148" t="s">
        <v>274</v>
      </c>
      <c r="E148" s="1">
        <v>3.778428189404668</v>
      </c>
      <c r="F148" s="1">
        <v>35.50268803846723</v>
      </c>
      <c r="G148" s="5">
        <v>1.341443572841845</v>
      </c>
      <c r="H148" s="1">
        <v>5.191689284264891</v>
      </c>
      <c r="I148" t="s">
        <v>86</v>
      </c>
      <c r="J148" t="s">
        <v>69</v>
      </c>
      <c r="L148" t="s">
        <v>41</v>
      </c>
      <c r="M148" t="s">
        <v>418</v>
      </c>
      <c r="P148" t="s">
        <v>282</v>
      </c>
    </row>
    <row r="149" spans="1:16">
      <c r="A149" t="s">
        <v>24</v>
      </c>
      <c r="B149" t="s">
        <v>25</v>
      </c>
      <c r="C149" t="s">
        <v>277</v>
      </c>
      <c r="D149" t="s">
        <v>119</v>
      </c>
      <c r="E149" s="1">
        <v>6.66535044392253</v>
      </c>
      <c r="F149" s="1">
        <v>-5.715758207174981</v>
      </c>
      <c r="G149" s="5">
        <v>-0.380975315035476</v>
      </c>
      <c r="H149" s="1">
        <v>6.372527385456965</v>
      </c>
      <c r="I149" t="s">
        <v>293</v>
      </c>
      <c r="L149" t="s">
        <v>41</v>
      </c>
      <c r="M149" t="s">
        <v>419</v>
      </c>
      <c r="P149" t="s">
        <v>282</v>
      </c>
    </row>
    <row r="150" spans="1:16">
      <c r="A150" t="s">
        <v>24</v>
      </c>
      <c r="B150" t="s">
        <v>25</v>
      </c>
      <c r="G150" s="2">
        <v>-4.085E-15</v>
      </c>
      <c r="I150" t="s">
        <v>57</v>
      </c>
      <c r="L150" t="s">
        <v>58</v>
      </c>
      <c r="M150" t="s">
        <v>420</v>
      </c>
      <c r="P150" t="s">
        <v>60</v>
      </c>
    </row>
    <row r="151" spans="1:16">
      <c r="A151" t="s">
        <v>24</v>
      </c>
      <c r="B151" t="s">
        <v>25</v>
      </c>
      <c r="C151" t="s">
        <v>61</v>
      </c>
      <c r="G151" s="6">
        <f>SUM(G128:G150)</f>
        <v>-1.3833170300858622</v>
      </c>
      <c r="I151" t="s">
        <v>64</v>
      </c>
      <c r="K151" s="1">
        <v>33.39705028056146</v>
      </c>
      <c r="L151" t="s">
        <v>62</v>
      </c>
      <c r="M151" t="s">
        <v>421</v>
      </c>
      <c r="N151" s="1">
        <v>-1.383317030085862</v>
      </c>
      <c r="O151" s="2">
        <f>G151-N151</f>
        <v>0</v>
      </c>
    </row>
    <row r="152" spans="1:16">
      <c r="A152" t="s">
        <v>26</v>
      </c>
      <c r="B152" t="s">
        <v>27</v>
      </c>
      <c r="C152" t="s">
        <v>239</v>
      </c>
      <c r="E152" s="1">
        <v>2.942467875871463</v>
      </c>
      <c r="F152" s="1">
        <v>4.158750883428586</v>
      </c>
      <c r="G152" s="5">
        <v>0.1223699087824071</v>
      </c>
      <c r="H152" s="1">
        <v>3.177728197317066</v>
      </c>
      <c r="I152" t="s">
        <v>86</v>
      </c>
      <c r="L152" t="s">
        <v>41</v>
      </c>
      <c r="M152" t="s">
        <v>422</v>
      </c>
      <c r="P152" t="s">
        <v>282</v>
      </c>
    </row>
    <row r="153" spans="1:16">
      <c r="A153" t="s">
        <v>26</v>
      </c>
      <c r="B153" t="s">
        <v>27</v>
      </c>
      <c r="C153" t="s">
        <v>414</v>
      </c>
      <c r="E153" s="1">
        <v>2.109816665820692</v>
      </c>
      <c r="F153" s="1">
        <v>-22.96298085450595</v>
      </c>
      <c r="G153" s="5">
        <v>-0.4844767970375815</v>
      </c>
      <c r="H153" s="1">
        <v>1.685207731749174</v>
      </c>
      <c r="I153" t="s">
        <v>86</v>
      </c>
      <c r="L153" t="s">
        <v>41</v>
      </c>
      <c r="M153" t="s">
        <v>423</v>
      </c>
      <c r="P153" t="s">
        <v>282</v>
      </c>
    </row>
    <row r="154" spans="1:16">
      <c r="A154" t="s">
        <v>26</v>
      </c>
      <c r="B154" t="s">
        <v>27</v>
      </c>
      <c r="C154" t="s">
        <v>244</v>
      </c>
      <c r="E154" s="1">
        <v>2.961659230097875</v>
      </c>
      <c r="F154" s="1">
        <v>12.64342132350107</v>
      </c>
      <c r="G154" s="5">
        <v>0.3744550546276322</v>
      </c>
      <c r="H154" s="1">
        <v>3.458996911721304</v>
      </c>
      <c r="I154" t="s">
        <v>86</v>
      </c>
      <c r="L154" t="s">
        <v>41</v>
      </c>
      <c r="M154" t="s">
        <v>424</v>
      </c>
      <c r="P154" t="s">
        <v>282</v>
      </c>
    </row>
    <row r="155" spans="1:16">
      <c r="A155" t="s">
        <v>26</v>
      </c>
      <c r="B155" t="s">
        <v>27</v>
      </c>
      <c r="C155" t="s">
        <v>246</v>
      </c>
      <c r="E155" s="1">
        <v>3.938848149471007</v>
      </c>
      <c r="F155" s="1">
        <v>-22.31737506986512</v>
      </c>
      <c r="G155" s="5">
        <v>-0.8790475149498864</v>
      </c>
      <c r="H155" s="1">
        <v>3.172505508504267</v>
      </c>
      <c r="I155" t="s">
        <v>109</v>
      </c>
      <c r="L155" t="s">
        <v>41</v>
      </c>
      <c r="M155" t="s">
        <v>425</v>
      </c>
      <c r="P155" t="s">
        <v>282</v>
      </c>
    </row>
    <row r="156" spans="1:16">
      <c r="A156" t="s">
        <v>26</v>
      </c>
      <c r="B156" t="s">
        <v>27</v>
      </c>
      <c r="C156" t="s">
        <v>350</v>
      </c>
      <c r="E156" s="1">
        <v>6.349233936821351</v>
      </c>
      <c r="F156" s="1">
        <v>19.82319035011144</v>
      </c>
      <c r="G156" s="5">
        <v>1.258620729069971</v>
      </c>
      <c r="H156" s="1">
        <v>7.888082825768008</v>
      </c>
      <c r="I156" t="s">
        <v>86</v>
      </c>
      <c r="J156" t="s">
        <v>69</v>
      </c>
      <c r="L156" t="s">
        <v>41</v>
      </c>
      <c r="M156" t="s">
        <v>426</v>
      </c>
      <c r="P156" t="s">
        <v>282</v>
      </c>
    </row>
    <row r="157" spans="1:16">
      <c r="A157" t="s">
        <v>26</v>
      </c>
      <c r="B157" t="s">
        <v>27</v>
      </c>
      <c r="C157" t="s">
        <v>250</v>
      </c>
      <c r="E157" s="1">
        <v>1.132286722229745</v>
      </c>
      <c r="F157" s="1">
        <v>24.00177996962229</v>
      </c>
      <c r="G157" s="5">
        <v>0.2717689676948317</v>
      </c>
      <c r="H157" s="1">
        <v>1.455772758616221</v>
      </c>
      <c r="I157" t="s">
        <v>109</v>
      </c>
      <c r="L157" t="s">
        <v>41</v>
      </c>
      <c r="M157" t="s">
        <v>427</v>
      </c>
      <c r="P157" t="s">
        <v>282</v>
      </c>
    </row>
    <row r="158" spans="1:16">
      <c r="A158" t="s">
        <v>26</v>
      </c>
      <c r="B158" t="s">
        <v>27</v>
      </c>
      <c r="C158" t="s">
        <v>254</v>
      </c>
      <c r="E158" s="1">
        <v>2.222222222222222</v>
      </c>
      <c r="F158" s="1">
        <v>30.48431372032418</v>
      </c>
      <c r="G158" s="5">
        <v>0.6774291937849818</v>
      </c>
      <c r="H158" s="1">
        <v>3.00645734438995</v>
      </c>
      <c r="I158" t="s">
        <v>86</v>
      </c>
      <c r="L158" t="s">
        <v>41</v>
      </c>
      <c r="M158" t="s">
        <v>428</v>
      </c>
      <c r="P158" t="s">
        <v>282</v>
      </c>
    </row>
    <row r="159" spans="1:16">
      <c r="A159" t="s">
        <v>26</v>
      </c>
      <c r="B159" t="s">
        <v>27</v>
      </c>
      <c r="C159" t="s">
        <v>256</v>
      </c>
      <c r="E159" s="1">
        <v>2.016654213786347</v>
      </c>
      <c r="F159" s="1">
        <v>36.11967504498377</v>
      </c>
      <c r="G159" s="5">
        <v>0.7284089488006008</v>
      </c>
      <c r="H159" s="1">
        <v>2.846174978279985</v>
      </c>
      <c r="I159" t="s">
        <v>86</v>
      </c>
      <c r="L159" t="s">
        <v>41</v>
      </c>
      <c r="M159" t="s">
        <v>429</v>
      </c>
      <c r="P159" t="s">
        <v>282</v>
      </c>
    </row>
    <row r="160" spans="1:16">
      <c r="A160" t="s">
        <v>26</v>
      </c>
      <c r="B160" t="s">
        <v>27</v>
      </c>
      <c r="C160" t="s">
        <v>141</v>
      </c>
      <c r="E160" s="1">
        <v>6.666666666666665</v>
      </c>
      <c r="F160" s="1">
        <v>-22.03482468367225</v>
      </c>
      <c r="G160" s="5">
        <v>-1.468988312244817</v>
      </c>
      <c r="H160" s="1">
        <v>5.389129940296731</v>
      </c>
      <c r="I160" t="s">
        <v>86</v>
      </c>
      <c r="J160" t="s">
        <v>45</v>
      </c>
      <c r="L160" t="s">
        <v>41</v>
      </c>
      <c r="M160" t="s">
        <v>430</v>
      </c>
      <c r="P160" t="s">
        <v>282</v>
      </c>
    </row>
    <row r="161" spans="1:16">
      <c r="A161" t="s">
        <v>26</v>
      </c>
      <c r="B161" t="s">
        <v>27</v>
      </c>
      <c r="C161" t="s">
        <v>85</v>
      </c>
      <c r="E161" s="1">
        <v>1.765158250252499</v>
      </c>
      <c r="F161" s="1">
        <v>28.25045965195554</v>
      </c>
      <c r="G161" s="5">
        <v>0.4986653192807464</v>
      </c>
      <c r="H161" s="1">
        <v>2.347209378152849</v>
      </c>
      <c r="I161" t="s">
        <v>86</v>
      </c>
      <c r="L161" t="s">
        <v>41</v>
      </c>
      <c r="M161" t="s">
        <v>431</v>
      </c>
      <c r="P161" t="s">
        <v>282</v>
      </c>
    </row>
    <row r="162" spans="1:16">
      <c r="A162" t="s">
        <v>26</v>
      </c>
      <c r="B162" t="s">
        <v>27</v>
      </c>
      <c r="C162" t="s">
        <v>260</v>
      </c>
      <c r="E162" s="1">
        <v>4.489724073233326</v>
      </c>
      <c r="F162" s="1">
        <v>-5.537030082490513</v>
      </c>
      <c r="G162" s="5">
        <v>-0.2485973725557474</v>
      </c>
      <c r="H162" s="1">
        <v>4.397344607476343</v>
      </c>
      <c r="I162" t="s">
        <v>86</v>
      </c>
      <c r="L162" t="s">
        <v>41</v>
      </c>
      <c r="M162" t="s">
        <v>432</v>
      </c>
      <c r="P162" t="s">
        <v>282</v>
      </c>
    </row>
    <row r="163" spans="1:16">
      <c r="A163" t="s">
        <v>26</v>
      </c>
      <c r="B163" t="s">
        <v>27</v>
      </c>
      <c r="C163" t="s">
        <v>264</v>
      </c>
      <c r="D163" t="s">
        <v>433</v>
      </c>
      <c r="E163" s="1">
        <v>3.816553994819955</v>
      </c>
      <c r="F163" s="1">
        <v>-14.77280235434509</v>
      </c>
      <c r="G163" s="5">
        <v>-0.563811978401614</v>
      </c>
      <c r="H163" s="1">
        <v>3.37255370444928</v>
      </c>
      <c r="I163" t="s">
        <v>434</v>
      </c>
      <c r="L163" t="s">
        <v>41</v>
      </c>
      <c r="M163" t="s">
        <v>435</v>
      </c>
      <c r="P163" t="s">
        <v>282</v>
      </c>
    </row>
    <row r="164" spans="1:16">
      <c r="A164" t="s">
        <v>26</v>
      </c>
      <c r="B164" t="s">
        <v>27</v>
      </c>
      <c r="C164" t="s">
        <v>405</v>
      </c>
      <c r="E164" s="1">
        <v>2.002746056020396</v>
      </c>
      <c r="F164" s="1">
        <v>-9.965738191198126</v>
      </c>
      <c r="G164" s="5">
        <v>-0.1995884285775387</v>
      </c>
      <c r="H164" s="1">
        <v>1.869575240041497</v>
      </c>
      <c r="I164" t="s">
        <v>86</v>
      </c>
      <c r="L164" t="s">
        <v>41</v>
      </c>
      <c r="M164" t="s">
        <v>436</v>
      </c>
      <c r="P164" t="s">
        <v>282</v>
      </c>
    </row>
    <row r="165" spans="1:16">
      <c r="A165" t="s">
        <v>26</v>
      </c>
      <c r="B165" t="s">
        <v>27</v>
      </c>
      <c r="C165" t="s">
        <v>268</v>
      </c>
      <c r="E165" s="1">
        <v>19.38922106526685</v>
      </c>
      <c r="F165" s="1">
        <v>-30.42546372484275</v>
      </c>
      <c r="G165" s="5">
        <v>-5.899260421742333</v>
      </c>
      <c r="H165" s="1">
        <v>13.98685063603345</v>
      </c>
      <c r="I165" t="s">
        <v>109</v>
      </c>
      <c r="J165" t="s">
        <v>50</v>
      </c>
      <c r="L165" t="s">
        <v>41</v>
      </c>
      <c r="M165" t="s">
        <v>437</v>
      </c>
      <c r="P165" t="s">
        <v>282</v>
      </c>
    </row>
    <row r="166" spans="1:16">
      <c r="A166" t="s">
        <v>26</v>
      </c>
      <c r="B166" t="s">
        <v>27</v>
      </c>
      <c r="C166" t="s">
        <v>408</v>
      </c>
      <c r="E166" s="1">
        <v>4.998839043430671</v>
      </c>
      <c r="F166" s="1">
        <v>-21.66142965499481</v>
      </c>
      <c r="G166" s="5">
        <v>-1.082820002959151</v>
      </c>
      <c r="H166" s="1">
        <v>4.060261912864093</v>
      </c>
      <c r="I166" t="s">
        <v>86</v>
      </c>
      <c r="J166" t="s">
        <v>53</v>
      </c>
      <c r="L166" t="s">
        <v>41</v>
      </c>
      <c r="M166" t="s">
        <v>438</v>
      </c>
      <c r="P166" t="s">
        <v>282</v>
      </c>
    </row>
    <row r="167" spans="1:16">
      <c r="A167" t="s">
        <v>26</v>
      </c>
      <c r="B167" t="s">
        <v>27</v>
      </c>
      <c r="C167" t="s">
        <v>338</v>
      </c>
      <c r="E167" s="1">
        <v>6.754128217978578</v>
      </c>
      <c r="F167" s="1">
        <v>-4.954846843926686</v>
      </c>
      <c r="G167" s="5">
        <v>-0.3346567088432736</v>
      </c>
      <c r="H167" s="1">
        <v>6.655926694912049</v>
      </c>
      <c r="I167" t="s">
        <v>86</v>
      </c>
      <c r="L167" t="s">
        <v>41</v>
      </c>
      <c r="M167" t="s">
        <v>439</v>
      </c>
      <c r="P167" t="s">
        <v>282</v>
      </c>
    </row>
    <row r="168" spans="1:16">
      <c r="A168" t="s">
        <v>26</v>
      </c>
      <c r="B168" t="s">
        <v>27</v>
      </c>
      <c r="C168" t="s">
        <v>111</v>
      </c>
      <c r="E168" s="1">
        <v>7.226677300630121</v>
      </c>
      <c r="F168" s="1">
        <v>17.72208530699782</v>
      </c>
      <c r="G168" s="5">
        <v>1.280717916079118</v>
      </c>
      <c r="H168" s="1">
        <v>8.820757105391277</v>
      </c>
      <c r="I168" t="s">
        <v>86</v>
      </c>
      <c r="J168" t="s">
        <v>79</v>
      </c>
      <c r="L168" t="s">
        <v>41</v>
      </c>
      <c r="M168" t="s">
        <v>440</v>
      </c>
      <c r="P168" t="s">
        <v>282</v>
      </c>
    </row>
    <row r="169" spans="1:16">
      <c r="A169" t="s">
        <v>26</v>
      </c>
      <c r="B169" t="s">
        <v>27</v>
      </c>
      <c r="C169" t="s">
        <v>441</v>
      </c>
      <c r="E169" s="1">
        <v>2.222222222222222</v>
      </c>
      <c r="F169" s="1">
        <v>14.38628219240787</v>
      </c>
      <c r="G169" s="5">
        <v>0.3196951598312862</v>
      </c>
      <c r="H169" s="1">
        <v>2.635546514287722</v>
      </c>
      <c r="I169" t="s">
        <v>86</v>
      </c>
      <c r="L169" t="s">
        <v>41</v>
      </c>
      <c r="M169" t="s">
        <v>442</v>
      </c>
      <c r="P169" t="s">
        <v>282</v>
      </c>
    </row>
    <row r="170" spans="1:16">
      <c r="A170" t="s">
        <v>26</v>
      </c>
      <c r="B170" t="s">
        <v>27</v>
      </c>
      <c r="C170" t="s">
        <v>271</v>
      </c>
      <c r="E170" s="1">
        <v>1.782155506161423</v>
      </c>
      <c r="F170" s="1">
        <v>12.36790745033198</v>
      </c>
      <c r="G170" s="5">
        <v>0.2204153436230403</v>
      </c>
      <c r="H170" s="1">
        <v>2.07633366057707</v>
      </c>
      <c r="I170" t="s">
        <v>86</v>
      </c>
      <c r="L170" t="s">
        <v>41</v>
      </c>
      <c r="M170" t="s">
        <v>443</v>
      </c>
      <c r="P170" t="s">
        <v>282</v>
      </c>
    </row>
    <row r="171" spans="1:16">
      <c r="A171" t="s">
        <v>26</v>
      </c>
      <c r="B171" t="s">
        <v>27</v>
      </c>
      <c r="C171" t="s">
        <v>416</v>
      </c>
      <c r="E171" s="1">
        <v>4.155030828911316</v>
      </c>
      <c r="F171" s="1">
        <v>14.89025306075278</v>
      </c>
      <c r="G171" s="5">
        <v>0.6186946051771887</v>
      </c>
      <c r="H171" s="1">
        <v>4.949561113514491</v>
      </c>
      <c r="I171" t="s">
        <v>86</v>
      </c>
      <c r="L171" t="s">
        <v>41</v>
      </c>
      <c r="M171" t="s">
        <v>444</v>
      </c>
      <c r="P171" t="s">
        <v>282</v>
      </c>
    </row>
    <row r="172" spans="1:16">
      <c r="A172" t="s">
        <v>26</v>
      </c>
      <c r="B172" t="s">
        <v>27</v>
      </c>
      <c r="C172" t="s">
        <v>274</v>
      </c>
      <c r="E172" s="1">
        <v>4.964286011062709</v>
      </c>
      <c r="F172" s="1">
        <v>-0.6087728298079131</v>
      </c>
      <c r="G172" s="5">
        <v>-0.03022122442930491</v>
      </c>
      <c r="H172" s="1">
        <v>5.115806415067712</v>
      </c>
      <c r="I172" t="s">
        <v>86</v>
      </c>
      <c r="L172" t="s">
        <v>41</v>
      </c>
      <c r="M172" t="s">
        <v>445</v>
      </c>
      <c r="P172" t="s">
        <v>282</v>
      </c>
    </row>
    <row r="173" spans="1:16">
      <c r="A173" t="s">
        <v>26</v>
      </c>
      <c r="B173" t="s">
        <v>27</v>
      </c>
      <c r="C173" t="s">
        <v>119</v>
      </c>
      <c r="E173" s="1">
        <v>6.093401747022567</v>
      </c>
      <c r="F173" s="1">
        <v>20.80408836425576</v>
      </c>
      <c r="G173" s="5">
        <v>1.267676683839679</v>
      </c>
      <c r="H173" s="1">
        <v>7.632216820589468</v>
      </c>
      <c r="I173" t="s">
        <v>86</v>
      </c>
      <c r="J173" t="s">
        <v>71</v>
      </c>
      <c r="L173" t="s">
        <v>41</v>
      </c>
      <c r="M173" t="s">
        <v>446</v>
      </c>
      <c r="P173" t="s">
        <v>282</v>
      </c>
    </row>
    <row r="174" spans="1:16">
      <c r="A174" t="s">
        <v>26</v>
      </c>
      <c r="B174" t="s">
        <v>27</v>
      </c>
      <c r="G174" s="2">
        <v>7.822E-15</v>
      </c>
      <c r="I174" t="s">
        <v>57</v>
      </c>
      <c r="L174" t="s">
        <v>58</v>
      </c>
      <c r="M174" t="s">
        <v>447</v>
      </c>
      <c r="P174" t="s">
        <v>60</v>
      </c>
    </row>
    <row r="175" spans="1:16">
      <c r="A175" t="s">
        <v>26</v>
      </c>
      <c r="B175" t="s">
        <v>27</v>
      </c>
      <c r="C175" t="s">
        <v>61</v>
      </c>
      <c r="G175" s="6">
        <f>SUM(G152:G174)</f>
        <v>-3.552550931149756</v>
      </c>
      <c r="I175" t="s">
        <v>64</v>
      </c>
      <c r="K175" s="1">
        <v>-22.28654577550484</v>
      </c>
      <c r="L175" t="s">
        <v>62</v>
      </c>
      <c r="M175" t="s">
        <v>448</v>
      </c>
      <c r="N175" s="1">
        <v>-3.552550931149756</v>
      </c>
      <c r="O175" s="2">
        <f>G175-N175</f>
        <v>0</v>
      </c>
    </row>
    <row r="176" spans="1:16">
      <c r="A176" t="s">
        <v>28</v>
      </c>
      <c r="B176" t="s">
        <v>29</v>
      </c>
      <c r="C176" t="s">
        <v>239</v>
      </c>
      <c r="E176" s="1">
        <v>3.177728197317067</v>
      </c>
      <c r="F176" s="1">
        <v>30.24535390575658</v>
      </c>
      <c r="G176" s="5">
        <v>0.9611151394415657</v>
      </c>
      <c r="H176" s="1">
        <v>3.069864597664935</v>
      </c>
      <c r="I176" t="s">
        <v>86</v>
      </c>
      <c r="L176" t="s">
        <v>41</v>
      </c>
      <c r="M176" t="s">
        <v>449</v>
      </c>
      <c r="P176" t="s">
        <v>282</v>
      </c>
    </row>
    <row r="177" spans="1:16">
      <c r="A177" t="s">
        <v>28</v>
      </c>
      <c r="B177" t="s">
        <v>29</v>
      </c>
      <c r="C177" t="s">
        <v>414</v>
      </c>
      <c r="E177" s="1">
        <v>1.685207731749174</v>
      </c>
      <c r="F177" s="1">
        <v>16.13570537590889</v>
      </c>
      <c r="G177" s="5">
        <v>0.2719201545670837</v>
      </c>
      <c r="H177" s="1">
        <v>1.451641708190479</v>
      </c>
      <c r="I177" t="s">
        <v>86</v>
      </c>
      <c r="L177" t="s">
        <v>41</v>
      </c>
      <c r="M177" t="s">
        <v>450</v>
      </c>
      <c r="P177" t="s">
        <v>282</v>
      </c>
    </row>
    <row r="178" spans="1:16">
      <c r="A178" t="s">
        <v>28</v>
      </c>
      <c r="B178" t="s">
        <v>29</v>
      </c>
      <c r="C178" t="s">
        <v>244</v>
      </c>
      <c r="E178" s="1">
        <v>3.458996911721304</v>
      </c>
      <c r="F178" s="1">
        <v>64.00320399682387</v>
      </c>
      <c r="G178" s="5">
        <v>2.213868849652823</v>
      </c>
      <c r="H178" s="1">
        <v>4.207680347182847</v>
      </c>
      <c r="I178" t="s">
        <v>86</v>
      </c>
      <c r="L178" t="s">
        <v>41</v>
      </c>
      <c r="M178" t="s">
        <v>451</v>
      </c>
      <c r="P178" t="s">
        <v>282</v>
      </c>
    </row>
    <row r="179" spans="1:16">
      <c r="A179" t="s">
        <v>28</v>
      </c>
      <c r="B179" t="s">
        <v>29</v>
      </c>
      <c r="C179" t="s">
        <v>246</v>
      </c>
      <c r="E179" s="1">
        <v>3.172505508504268</v>
      </c>
      <c r="F179" s="1">
        <v>2.134770492490601</v>
      </c>
      <c r="G179" s="5">
        <v>0.06772571146818769</v>
      </c>
      <c r="H179" s="1">
        <v>2.403345645412187</v>
      </c>
      <c r="I179" t="s">
        <v>86</v>
      </c>
      <c r="L179" t="s">
        <v>41</v>
      </c>
      <c r="M179" t="s">
        <v>452</v>
      </c>
      <c r="P179" t="s">
        <v>282</v>
      </c>
    </row>
    <row r="180" spans="1:16">
      <c r="A180" t="s">
        <v>28</v>
      </c>
      <c r="B180" t="s">
        <v>29</v>
      </c>
      <c r="C180" t="s">
        <v>350</v>
      </c>
      <c r="E180" s="1">
        <v>7.888082825768008</v>
      </c>
      <c r="F180" s="1">
        <v>29.27878882762083</v>
      </c>
      <c r="G180" s="5">
        <v>2.309535113104442</v>
      </c>
      <c r="H180" s="1">
        <v>7.563781410381772</v>
      </c>
      <c r="I180" t="s">
        <v>86</v>
      </c>
      <c r="L180" t="s">
        <v>41</v>
      </c>
      <c r="M180" t="s">
        <v>453</v>
      </c>
      <c r="P180" t="s">
        <v>282</v>
      </c>
    </row>
    <row r="181" spans="1:16">
      <c r="A181" t="s">
        <v>28</v>
      </c>
      <c r="B181" t="s">
        <v>29</v>
      </c>
      <c r="C181" t="s">
        <v>250</v>
      </c>
      <c r="E181" s="1">
        <v>1.455772758616221</v>
      </c>
      <c r="F181" s="1">
        <v>33.82425618057037</v>
      </c>
      <c r="G181" s="5">
        <v>0.492404307281307</v>
      </c>
      <c r="H181" s="1">
        <v>1.445002701954251</v>
      </c>
      <c r="I181" t="s">
        <v>86</v>
      </c>
      <c r="L181" t="s">
        <v>41</v>
      </c>
      <c r="M181" t="s">
        <v>454</v>
      </c>
      <c r="P181" t="s">
        <v>282</v>
      </c>
    </row>
    <row r="182" spans="1:16">
      <c r="A182" t="s">
        <v>28</v>
      </c>
      <c r="B182" t="s">
        <v>29</v>
      </c>
      <c r="C182" t="s">
        <v>254</v>
      </c>
      <c r="E182" s="1">
        <v>3.00645734438995</v>
      </c>
      <c r="F182" s="1">
        <v>15.76552670558342</v>
      </c>
      <c r="G182" s="5">
        <v>0.4739838355217717</v>
      </c>
      <c r="H182" s="1">
        <v>2.581514276603136</v>
      </c>
      <c r="I182" t="s">
        <v>86</v>
      </c>
      <c r="L182" t="s">
        <v>41</v>
      </c>
      <c r="M182" t="s">
        <v>455</v>
      </c>
      <c r="P182" t="s">
        <v>282</v>
      </c>
    </row>
    <row r="183" spans="1:16">
      <c r="A183" t="s">
        <v>28</v>
      </c>
      <c r="B183" t="s">
        <v>29</v>
      </c>
      <c r="C183" t="s">
        <v>256</v>
      </c>
      <c r="E183" s="1">
        <v>2.846174978279985</v>
      </c>
      <c r="F183" s="1">
        <v>23.42031779127716</v>
      </c>
      <c r="G183" s="5">
        <v>0.6665832248089859</v>
      </c>
      <c r="H183" s="1">
        <v>2.605484472448107</v>
      </c>
      <c r="I183" t="s">
        <v>86</v>
      </c>
      <c r="L183" t="s">
        <v>41</v>
      </c>
      <c r="M183" t="s">
        <v>456</v>
      </c>
      <c r="P183" t="s">
        <v>282</v>
      </c>
    </row>
    <row r="184" spans="1:16">
      <c r="A184" t="s">
        <v>28</v>
      </c>
      <c r="B184" t="s">
        <v>29</v>
      </c>
      <c r="C184" t="s">
        <v>141</v>
      </c>
      <c r="E184" s="1">
        <v>5.389129940296732</v>
      </c>
      <c r="F184" s="1">
        <v>101.1314775034562</v>
      </c>
      <c r="G184" s="5">
        <v>5.450106733203212</v>
      </c>
      <c r="H184" s="1">
        <v>8.039683124548631</v>
      </c>
      <c r="I184" t="s">
        <v>86</v>
      </c>
      <c r="J184" t="s">
        <v>71</v>
      </c>
      <c r="L184" t="s">
        <v>41</v>
      </c>
      <c r="M184" t="s">
        <v>457</v>
      </c>
      <c r="P184" t="s">
        <v>282</v>
      </c>
    </row>
    <row r="185" spans="1:16">
      <c r="A185" t="s">
        <v>28</v>
      </c>
      <c r="B185" t="s">
        <v>29</v>
      </c>
      <c r="C185" t="s">
        <v>85</v>
      </c>
      <c r="E185" s="1">
        <v>2.347209378152849</v>
      </c>
      <c r="F185" s="1">
        <v>23.58255458937104</v>
      </c>
      <c r="G185" s="5">
        <v>0.5535319329297324</v>
      </c>
      <c r="H185" s="1">
        <v>2.151539049277114</v>
      </c>
      <c r="I185" t="s">
        <v>86</v>
      </c>
      <c r="L185" t="s">
        <v>41</v>
      </c>
      <c r="M185" t="s">
        <v>458</v>
      </c>
      <c r="P185" t="s">
        <v>282</v>
      </c>
    </row>
    <row r="186" spans="1:16">
      <c r="A186" t="s">
        <v>28</v>
      </c>
      <c r="B186" t="s">
        <v>29</v>
      </c>
      <c r="C186" t="s">
        <v>260</v>
      </c>
      <c r="E186" s="1">
        <v>4.397344607476343</v>
      </c>
      <c r="F186" s="1">
        <v>42.60701378093494</v>
      </c>
      <c r="G186" s="5">
        <v>1.873577222902645</v>
      </c>
      <c r="H186" s="1">
        <v>4.651270742922377</v>
      </c>
      <c r="I186" t="s">
        <v>86</v>
      </c>
      <c r="L186" t="s">
        <v>41</v>
      </c>
      <c r="M186" t="s">
        <v>459</v>
      </c>
      <c r="P186" t="s">
        <v>282</v>
      </c>
    </row>
    <row r="187" spans="1:16">
      <c r="A187" t="s">
        <v>28</v>
      </c>
      <c r="B187" t="s">
        <v>29</v>
      </c>
      <c r="C187" t="s">
        <v>264</v>
      </c>
      <c r="E187" s="1">
        <v>3.082404070087174</v>
      </c>
      <c r="F187" s="1">
        <v>33.10899929796718</v>
      </c>
      <c r="G187" s="5">
        <v>1.020553141925674</v>
      </c>
      <c r="H187" s="1">
        <v>3.043247126323112</v>
      </c>
      <c r="I187" t="s">
        <v>86</v>
      </c>
      <c r="L187" t="s">
        <v>41</v>
      </c>
      <c r="M187" t="s">
        <v>460</v>
      </c>
      <c r="P187" t="s">
        <v>282</v>
      </c>
    </row>
    <row r="188" spans="1:16">
      <c r="A188" t="s">
        <v>28</v>
      </c>
      <c r="B188" t="s">
        <v>29</v>
      </c>
      <c r="C188" t="s">
        <v>405</v>
      </c>
      <c r="E188" s="1">
        <v>1.869575240041497</v>
      </c>
      <c r="F188" s="1">
        <v>51.77358109302934</v>
      </c>
      <c r="G188" s="5">
        <v>0.9679460529980823</v>
      </c>
      <c r="H188" s="1">
        <v>2.104647471253302</v>
      </c>
      <c r="I188" t="s">
        <v>86</v>
      </c>
      <c r="L188" t="s">
        <v>41</v>
      </c>
      <c r="M188" t="s">
        <v>461</v>
      </c>
      <c r="P188" t="s">
        <v>282</v>
      </c>
    </row>
    <row r="189" spans="1:16">
      <c r="A189" t="s">
        <v>28</v>
      </c>
      <c r="B189" t="s">
        <v>29</v>
      </c>
      <c r="C189" t="s">
        <v>268</v>
      </c>
      <c r="E189" s="1">
        <v>13.98685063603345</v>
      </c>
      <c r="F189" s="1">
        <v>67.04906988821635</v>
      </c>
      <c r="G189" s="5">
        <v>9.378053258114496</v>
      </c>
      <c r="H189" s="1">
        <v>17.3302262145206</v>
      </c>
      <c r="I189" t="s">
        <v>86</v>
      </c>
      <c r="J189" t="s">
        <v>79</v>
      </c>
      <c r="L189" t="s">
        <v>41</v>
      </c>
      <c r="M189" t="s">
        <v>462</v>
      </c>
      <c r="P189" t="s">
        <v>282</v>
      </c>
    </row>
    <row r="190" spans="1:16">
      <c r="A190" t="s">
        <v>28</v>
      </c>
      <c r="B190" t="s">
        <v>29</v>
      </c>
      <c r="C190" t="s">
        <v>408</v>
      </c>
      <c r="E190" s="1">
        <v>4.060261912864093</v>
      </c>
      <c r="F190" s="1">
        <v>13.74539081260058</v>
      </c>
      <c r="G190" s="5">
        <v>0.5580988679383416</v>
      </c>
      <c r="H190" s="1">
        <v>3.425532475296104</v>
      </c>
      <c r="I190" t="s">
        <v>86</v>
      </c>
      <c r="L190" t="s">
        <v>41</v>
      </c>
      <c r="M190" t="s">
        <v>463</v>
      </c>
      <c r="P190" t="s">
        <v>282</v>
      </c>
    </row>
    <row r="191" spans="1:16">
      <c r="A191" t="s">
        <v>28</v>
      </c>
      <c r="B191" t="s">
        <v>29</v>
      </c>
      <c r="C191" t="s">
        <v>338</v>
      </c>
      <c r="E191" s="1">
        <v>6.655926694912048</v>
      </c>
      <c r="F191" s="1">
        <v>27.5861066823641</v>
      </c>
      <c r="G191" s="5">
        <v>1.836111038758388</v>
      </c>
      <c r="H191" s="1">
        <v>6.298717752638133</v>
      </c>
      <c r="I191" t="s">
        <v>86</v>
      </c>
      <c r="L191" t="s">
        <v>41</v>
      </c>
      <c r="M191" t="s">
        <v>464</v>
      </c>
      <c r="P191" t="s">
        <v>282</v>
      </c>
    </row>
    <row r="192" spans="1:16">
      <c r="A192" t="s">
        <v>28</v>
      </c>
      <c r="B192" t="s">
        <v>29</v>
      </c>
      <c r="C192" t="s">
        <v>111</v>
      </c>
      <c r="E192" s="1">
        <v>8.820757105391277</v>
      </c>
      <c r="F192" s="1">
        <v>37.99579425859361</v>
      </c>
      <c r="G192" s="5">
        <v>3.351516721814746</v>
      </c>
      <c r="H192" s="1">
        <v>9.028423995503944</v>
      </c>
      <c r="I192" t="s">
        <v>86</v>
      </c>
      <c r="J192" t="s">
        <v>69</v>
      </c>
      <c r="L192" t="s">
        <v>41</v>
      </c>
      <c r="M192" t="s">
        <v>465</v>
      </c>
      <c r="P192" t="s">
        <v>282</v>
      </c>
    </row>
    <row r="193" spans="1:16">
      <c r="A193" t="s">
        <v>28</v>
      </c>
      <c r="B193" t="s">
        <v>29</v>
      </c>
      <c r="C193" t="s">
        <v>441</v>
      </c>
      <c r="E193" s="1">
        <v>2.635546514287722</v>
      </c>
      <c r="F193" s="1">
        <v>6.847046092095033</v>
      </c>
      <c r="G193" s="5">
        <v>0.1804570846118845</v>
      </c>
      <c r="H193" s="1">
        <v>2.088687358224377</v>
      </c>
      <c r="I193" t="s">
        <v>86</v>
      </c>
      <c r="L193" t="s">
        <v>41</v>
      </c>
      <c r="M193" t="s">
        <v>466</v>
      </c>
      <c r="P193" t="s">
        <v>282</v>
      </c>
    </row>
    <row r="194" spans="1:16">
      <c r="A194" t="s">
        <v>28</v>
      </c>
      <c r="B194" t="s">
        <v>29</v>
      </c>
      <c r="C194" t="s">
        <v>271</v>
      </c>
      <c r="E194" s="1">
        <v>2.07633366057707</v>
      </c>
      <c r="F194" s="1">
        <v>19.6555567030958</v>
      </c>
      <c r="G194" s="5">
        <v>0.4081149400001906</v>
      </c>
      <c r="H194" s="1">
        <v>1.842766247249022</v>
      </c>
      <c r="I194" t="s">
        <v>86</v>
      </c>
      <c r="L194" t="s">
        <v>41</v>
      </c>
      <c r="M194" t="s">
        <v>467</v>
      </c>
      <c r="P194" t="s">
        <v>282</v>
      </c>
    </row>
    <row r="195" spans="1:16">
      <c r="A195" t="s">
        <v>28</v>
      </c>
      <c r="B195" t="s">
        <v>29</v>
      </c>
      <c r="C195" t="s">
        <v>416</v>
      </c>
      <c r="E195" s="1">
        <v>4.949561113514491</v>
      </c>
      <c r="F195" s="1">
        <v>22.29138013150273</v>
      </c>
      <c r="G195" s="5">
        <v>1.103325482654555</v>
      </c>
      <c r="H195" s="1">
        <v>4.489549558503525</v>
      </c>
      <c r="I195" t="s">
        <v>86</v>
      </c>
      <c r="L195" t="s">
        <v>41</v>
      </c>
      <c r="M195" t="s">
        <v>468</v>
      </c>
      <c r="P195" t="s">
        <v>282</v>
      </c>
    </row>
    <row r="196" spans="1:16">
      <c r="A196" t="s">
        <v>28</v>
      </c>
      <c r="B196" t="s">
        <v>29</v>
      </c>
      <c r="C196" t="s">
        <v>274</v>
      </c>
      <c r="E196" s="1">
        <v>5.115806415067713</v>
      </c>
      <c r="F196" s="1">
        <v>15.59031278640846</v>
      </c>
      <c r="G196" s="5">
        <v>0.7975702216562052</v>
      </c>
      <c r="H196" s="1">
        <v>4.386072173476991</v>
      </c>
      <c r="I196" t="s">
        <v>86</v>
      </c>
      <c r="L196" t="s">
        <v>41</v>
      </c>
      <c r="M196" t="s">
        <v>469</v>
      </c>
      <c r="P196" t="s">
        <v>282</v>
      </c>
    </row>
    <row r="197" spans="1:16">
      <c r="A197" t="s">
        <v>28</v>
      </c>
      <c r="B197" t="s">
        <v>29</v>
      </c>
      <c r="C197" t="s">
        <v>119</v>
      </c>
      <c r="E197" s="1">
        <v>7.632216820589467</v>
      </c>
      <c r="F197" s="1">
        <v>-2.222763077729073</v>
      </c>
      <c r="G197" s="5">
        <v>-0.1696460975002906</v>
      </c>
      <c r="H197" s="1">
        <v>5.535141054245294</v>
      </c>
      <c r="I197" t="s">
        <v>86</v>
      </c>
      <c r="J197" t="s">
        <v>50</v>
      </c>
      <c r="L197" t="s">
        <v>41</v>
      </c>
      <c r="M197" t="s">
        <v>470</v>
      </c>
      <c r="P197" t="s">
        <v>282</v>
      </c>
    </row>
    <row r="198" spans="1:16">
      <c r="A198" t="s">
        <v>28</v>
      </c>
      <c r="B198" t="s">
        <v>29</v>
      </c>
      <c r="C198" t="s">
        <v>433</v>
      </c>
      <c r="E198" s="1">
        <v>0.2901496343621067</v>
      </c>
      <c r="F198" s="1">
        <v>19.03750132795072</v>
      </c>
      <c r="G198" s="5">
        <v>0.05523724049473023</v>
      </c>
      <c r="H198" s="1">
        <v>0.2561804961797632</v>
      </c>
      <c r="I198" t="s">
        <v>296</v>
      </c>
      <c r="L198" t="s">
        <v>41</v>
      </c>
      <c r="M198" t="s">
        <v>471</v>
      </c>
      <c r="P198" t="s">
        <v>282</v>
      </c>
    </row>
    <row r="199" spans="1:16">
      <c r="A199" t="s">
        <v>28</v>
      </c>
      <c r="B199" t="s">
        <v>29</v>
      </c>
      <c r="G199" s="2">
        <v>1.443E-14</v>
      </c>
      <c r="I199" t="s">
        <v>57</v>
      </c>
      <c r="L199" t="s">
        <v>58</v>
      </c>
      <c r="M199" t="s">
        <v>472</v>
      </c>
      <c r="P199" t="s">
        <v>60</v>
      </c>
    </row>
    <row r="200" spans="1:16">
      <c r="A200" t="s">
        <v>28</v>
      </c>
      <c r="B200" t="s">
        <v>29</v>
      </c>
      <c r="C200" t="s">
        <v>61</v>
      </c>
      <c r="G200" s="6">
        <f>SUM(G176:G199)</f>
        <v>34.821690178348774</v>
      </c>
      <c r="I200" t="s">
        <v>64</v>
      </c>
      <c r="K200" s="1">
        <v>19.83424318272573</v>
      </c>
      <c r="L200" t="s">
        <v>62</v>
      </c>
      <c r="M200" t="s">
        <v>473</v>
      </c>
      <c r="N200" s="1">
        <v>34.82169017834877</v>
      </c>
      <c r="O200" s="2">
        <f>G200-N200</f>
        <v>0</v>
      </c>
    </row>
    <row r="201" spans="1:16">
      <c r="A201" t="s">
        <v>30</v>
      </c>
      <c r="B201" t="s">
        <v>31</v>
      </c>
      <c r="C201" t="s">
        <v>239</v>
      </c>
      <c r="E201" s="1">
        <v>3.069864597664935</v>
      </c>
      <c r="F201" s="1">
        <v>25.36418773937128</v>
      </c>
      <c r="G201" s="5">
        <v>0.778646219896229</v>
      </c>
      <c r="H201" s="1">
        <v>3.355156899314753</v>
      </c>
      <c r="I201" t="s">
        <v>86</v>
      </c>
      <c r="L201" t="s">
        <v>41</v>
      </c>
      <c r="M201" t="s">
        <v>474</v>
      </c>
      <c r="P201" t="s">
        <v>282</v>
      </c>
    </row>
    <row r="202" spans="1:16">
      <c r="A202" t="s">
        <v>30</v>
      </c>
      <c r="B202" t="s">
        <v>31</v>
      </c>
      <c r="C202" t="s">
        <v>414</v>
      </c>
      <c r="E202" s="1">
        <v>1.451641708190479</v>
      </c>
      <c r="F202" s="1">
        <v>-6.266345595418199</v>
      </c>
      <c r="G202" s="5">
        <v>-0.09096488624244754</v>
      </c>
      <c r="H202" s="1">
        <v>1.186246951954697</v>
      </c>
      <c r="I202" t="s">
        <v>86</v>
      </c>
      <c r="L202" t="s">
        <v>41</v>
      </c>
      <c r="M202" t="s">
        <v>475</v>
      </c>
      <c r="P202" t="s">
        <v>282</v>
      </c>
    </row>
    <row r="203" spans="1:16">
      <c r="A203" t="s">
        <v>30</v>
      </c>
      <c r="B203" t="s">
        <v>31</v>
      </c>
      <c r="C203" t="s">
        <v>244</v>
      </c>
      <c r="E203" s="1">
        <v>4.207680347182847</v>
      </c>
      <c r="F203" s="1">
        <v>17.77301562723799</v>
      </c>
      <c r="G203" s="5">
        <v>0.7478316856490294</v>
      </c>
      <c r="H203" s="1">
        <v>4.32024779837556</v>
      </c>
      <c r="I203" t="s">
        <v>109</v>
      </c>
      <c r="L203" t="s">
        <v>41</v>
      </c>
      <c r="M203" t="s">
        <v>476</v>
      </c>
      <c r="P203" t="s">
        <v>282</v>
      </c>
    </row>
    <row r="204" spans="1:16">
      <c r="A204" t="s">
        <v>30</v>
      </c>
      <c r="B204" t="s">
        <v>31</v>
      </c>
      <c r="C204" t="s">
        <v>246</v>
      </c>
      <c r="E204" s="1">
        <v>2.403345645412187</v>
      </c>
      <c r="F204" s="1">
        <v>-17.91282263417233</v>
      </c>
      <c r="G204" s="5">
        <v>-0.4305070427487893</v>
      </c>
      <c r="H204" s="1">
        <v>1.719933595809719</v>
      </c>
      <c r="I204" t="s">
        <v>86</v>
      </c>
      <c r="J204" t="s">
        <v>50</v>
      </c>
      <c r="L204" t="s">
        <v>41</v>
      </c>
      <c r="M204" t="s">
        <v>477</v>
      </c>
      <c r="P204" t="s">
        <v>282</v>
      </c>
    </row>
    <row r="205" spans="1:16">
      <c r="A205" t="s">
        <v>30</v>
      </c>
      <c r="B205" t="s">
        <v>31</v>
      </c>
      <c r="C205" t="s">
        <v>350</v>
      </c>
      <c r="E205" s="1">
        <v>7.563781410381772</v>
      </c>
      <c r="F205" s="1">
        <v>17.09345313705683</v>
      </c>
      <c r="G205" s="5">
        <v>1.292911430773025</v>
      </c>
      <c r="H205" s="1">
        <v>7.72132274008863</v>
      </c>
      <c r="I205" t="s">
        <v>86</v>
      </c>
      <c r="L205" t="s">
        <v>41</v>
      </c>
      <c r="M205" t="s">
        <v>478</v>
      </c>
      <c r="P205" t="s">
        <v>282</v>
      </c>
    </row>
    <row r="206" spans="1:16">
      <c r="A206" t="s">
        <v>30</v>
      </c>
      <c r="B206" t="s">
        <v>31</v>
      </c>
      <c r="C206" t="s">
        <v>250</v>
      </c>
      <c r="E206" s="1">
        <v>1.445002701954251</v>
      </c>
      <c r="F206" s="1">
        <v>5.952973740132661</v>
      </c>
      <c r="G206" s="5">
        <v>0.08602063139154381</v>
      </c>
      <c r="H206" s="1">
        <v>1.334756154626653</v>
      </c>
      <c r="I206" t="s">
        <v>109</v>
      </c>
      <c r="L206" t="s">
        <v>41</v>
      </c>
      <c r="M206" t="s">
        <v>479</v>
      </c>
      <c r="P206" t="s">
        <v>282</v>
      </c>
    </row>
    <row r="207" spans="1:16">
      <c r="A207" t="s">
        <v>30</v>
      </c>
      <c r="B207" t="s">
        <v>31</v>
      </c>
      <c r="C207" t="s">
        <v>254</v>
      </c>
      <c r="E207" s="1">
        <v>2.581514276603136</v>
      </c>
      <c r="F207" s="1">
        <v>5.621138629653255</v>
      </c>
      <c r="G207" s="5">
        <v>0.1451104962321527</v>
      </c>
      <c r="H207" s="1">
        <v>2.377089308590842</v>
      </c>
      <c r="I207" t="s">
        <v>86</v>
      </c>
      <c r="L207" t="s">
        <v>41</v>
      </c>
      <c r="M207" t="s">
        <v>480</v>
      </c>
      <c r="P207" t="s">
        <v>282</v>
      </c>
    </row>
    <row r="208" spans="1:16">
      <c r="A208" t="s">
        <v>30</v>
      </c>
      <c r="B208" t="s">
        <v>31</v>
      </c>
      <c r="C208" t="s">
        <v>256</v>
      </c>
      <c r="E208" s="1">
        <v>2.605484472448107</v>
      </c>
      <c r="F208" s="1">
        <v>15.02445872292597</v>
      </c>
      <c r="G208" s="5">
        <v>0.3914599390952115</v>
      </c>
      <c r="H208" s="1">
        <v>2.612755737458064</v>
      </c>
      <c r="I208" t="s">
        <v>86</v>
      </c>
      <c r="L208" t="s">
        <v>41</v>
      </c>
      <c r="M208" t="s">
        <v>481</v>
      </c>
      <c r="P208" t="s">
        <v>282</v>
      </c>
    </row>
    <row r="209" spans="1:16">
      <c r="A209" t="s">
        <v>30</v>
      </c>
      <c r="B209" t="s">
        <v>31</v>
      </c>
      <c r="C209" t="s">
        <v>141</v>
      </c>
      <c r="E209" s="1">
        <v>8.039683124548629</v>
      </c>
      <c r="F209" s="1">
        <v>17.66327216639614</v>
      </c>
      <c r="G209" s="5">
        <v>1.420071111604846</v>
      </c>
      <c r="H209" s="1">
        <v>8.247075608160969</v>
      </c>
      <c r="I209" t="s">
        <v>86</v>
      </c>
      <c r="L209" t="s">
        <v>41</v>
      </c>
      <c r="M209" t="s">
        <v>482</v>
      </c>
      <c r="P209" t="s">
        <v>282</v>
      </c>
    </row>
    <row r="210" spans="1:16">
      <c r="A210" t="s">
        <v>30</v>
      </c>
      <c r="B210" t="s">
        <v>31</v>
      </c>
      <c r="C210" t="s">
        <v>85</v>
      </c>
      <c r="D210" t="s">
        <v>483</v>
      </c>
      <c r="E210" s="1">
        <v>2.151539049277114</v>
      </c>
      <c r="F210" s="1">
        <v>18.06884841621656</v>
      </c>
      <c r="G210" s="5">
        <v>0.3887583294295888</v>
      </c>
      <c r="H210" s="1">
        <v>2.214647867842071</v>
      </c>
      <c r="I210" t="s">
        <v>484</v>
      </c>
      <c r="L210" t="s">
        <v>41</v>
      </c>
      <c r="M210" t="s">
        <v>485</v>
      </c>
      <c r="P210" t="s">
        <v>282</v>
      </c>
    </row>
    <row r="211" spans="1:16">
      <c r="A211" t="s">
        <v>30</v>
      </c>
      <c r="B211" t="s">
        <v>31</v>
      </c>
      <c r="C211" t="s">
        <v>260</v>
      </c>
      <c r="E211" s="1">
        <v>4.651270742922377</v>
      </c>
      <c r="F211" s="1">
        <v>-3.118834566133766</v>
      </c>
      <c r="G211" s="5">
        <v>-0.1450654396947297</v>
      </c>
      <c r="H211" s="1">
        <v>3.928539253121818</v>
      </c>
      <c r="I211" t="s">
        <v>86</v>
      </c>
      <c r="L211" t="s">
        <v>41</v>
      </c>
      <c r="M211" t="s">
        <v>486</v>
      </c>
      <c r="P211" t="s">
        <v>282</v>
      </c>
    </row>
    <row r="212" spans="1:16">
      <c r="A212" t="s">
        <v>30</v>
      </c>
      <c r="B212" t="s">
        <v>31</v>
      </c>
      <c r="C212" t="s">
        <v>264</v>
      </c>
      <c r="E212" s="1">
        <v>3.043247126323112</v>
      </c>
      <c r="F212" s="1">
        <v>22.55341877816106</v>
      </c>
      <c r="G212" s="5">
        <v>0.6863562688540036</v>
      </c>
      <c r="H212" s="1">
        <v>3.251492630847296</v>
      </c>
      <c r="I212" t="s">
        <v>86</v>
      </c>
      <c r="L212" t="s">
        <v>41</v>
      </c>
      <c r="M212" t="s">
        <v>487</v>
      </c>
      <c r="P212" t="s">
        <v>282</v>
      </c>
    </row>
    <row r="213" spans="1:16">
      <c r="A213" t="s">
        <v>30</v>
      </c>
      <c r="B213" t="s">
        <v>31</v>
      </c>
      <c r="C213" t="s">
        <v>405</v>
      </c>
      <c r="E213" s="1">
        <v>2.104647471253303</v>
      </c>
      <c r="F213" s="1">
        <v>-8.213878000323426</v>
      </c>
      <c r="G213" s="5">
        <v>-0.1728731756256383</v>
      </c>
      <c r="H213" s="1">
        <v>1.684133464382823</v>
      </c>
      <c r="I213" t="s">
        <v>86</v>
      </c>
      <c r="J213" t="s">
        <v>53</v>
      </c>
      <c r="L213" t="s">
        <v>41</v>
      </c>
      <c r="M213" t="s">
        <v>488</v>
      </c>
      <c r="P213" t="s">
        <v>282</v>
      </c>
    </row>
    <row r="214" spans="1:16">
      <c r="A214" t="s">
        <v>30</v>
      </c>
      <c r="B214" t="s">
        <v>31</v>
      </c>
      <c r="C214" t="s">
        <v>268</v>
      </c>
      <c r="E214" s="1">
        <v>17.3302262145206</v>
      </c>
      <c r="F214" s="1">
        <v>14.78145473671495</v>
      </c>
      <c r="G214" s="5">
        <v>2.56165954366967</v>
      </c>
      <c r="H214" s="1">
        <v>17.34187609332665</v>
      </c>
      <c r="I214" t="s">
        <v>86</v>
      </c>
      <c r="J214" t="s">
        <v>71</v>
      </c>
      <c r="L214" t="s">
        <v>41</v>
      </c>
      <c r="M214" t="s">
        <v>489</v>
      </c>
      <c r="P214" t="s">
        <v>282</v>
      </c>
    </row>
    <row r="215" spans="1:16">
      <c r="A215" t="s">
        <v>30</v>
      </c>
      <c r="B215" t="s">
        <v>31</v>
      </c>
      <c r="C215" t="s">
        <v>408</v>
      </c>
      <c r="E215" s="1">
        <v>3.425532475296104</v>
      </c>
      <c r="F215" s="1">
        <v>-5.81739392937809</v>
      </c>
      <c r="G215" s="5">
        <v>-0.1992767182667507</v>
      </c>
      <c r="H215" s="1">
        <v>2.81267086810753</v>
      </c>
      <c r="I215" t="s">
        <v>86</v>
      </c>
      <c r="J215" t="s">
        <v>45</v>
      </c>
      <c r="L215" t="s">
        <v>41</v>
      </c>
      <c r="M215" t="s">
        <v>490</v>
      </c>
      <c r="P215" t="s">
        <v>282</v>
      </c>
    </row>
    <row r="216" spans="1:16">
      <c r="A216" t="s">
        <v>30</v>
      </c>
      <c r="B216" t="s">
        <v>31</v>
      </c>
      <c r="C216" t="s">
        <v>338</v>
      </c>
      <c r="E216" s="1">
        <v>6.298717752638133</v>
      </c>
      <c r="F216" s="1">
        <v>35.1293845647183</v>
      </c>
      <c r="G216" s="5">
        <v>2.212700781970432</v>
      </c>
      <c r="H216" s="1">
        <v>7.420310341610088</v>
      </c>
      <c r="I216" t="s">
        <v>86</v>
      </c>
      <c r="J216" t="s">
        <v>69</v>
      </c>
      <c r="L216" t="s">
        <v>41</v>
      </c>
      <c r="M216" t="s">
        <v>491</v>
      </c>
      <c r="P216" t="s">
        <v>282</v>
      </c>
    </row>
    <row r="217" spans="1:16">
      <c r="A217" t="s">
        <v>30</v>
      </c>
      <c r="B217" t="s">
        <v>31</v>
      </c>
      <c r="C217" t="s">
        <v>111</v>
      </c>
      <c r="E217" s="1">
        <v>9.028423995503942</v>
      </c>
      <c r="F217" s="1">
        <v>34.84552172589748</v>
      </c>
      <c r="G217" s="5">
        <v>3.146001444859468</v>
      </c>
      <c r="H217" s="1">
        <v>10.61374371745005</v>
      </c>
      <c r="I217" t="s">
        <v>90</v>
      </c>
      <c r="J217" t="s">
        <v>79</v>
      </c>
      <c r="L217" t="s">
        <v>41</v>
      </c>
      <c r="M217" t="s">
        <v>492</v>
      </c>
      <c r="P217" t="s">
        <v>282</v>
      </c>
    </row>
    <row r="218" spans="1:16">
      <c r="A218" t="s">
        <v>30</v>
      </c>
      <c r="B218" t="s">
        <v>31</v>
      </c>
      <c r="C218" t="s">
        <v>441</v>
      </c>
      <c r="E218" s="1">
        <v>2.088687358224377</v>
      </c>
      <c r="F218" s="1">
        <v>0.7490371331861034</v>
      </c>
      <c r="G218" s="5">
        <v>0.01564504390926428</v>
      </c>
      <c r="H218" s="1">
        <v>1.834570750133552</v>
      </c>
      <c r="I218" t="s">
        <v>86</v>
      </c>
      <c r="L218" t="s">
        <v>41</v>
      </c>
      <c r="M218" t="s">
        <v>493</v>
      </c>
      <c r="P218" t="s">
        <v>282</v>
      </c>
    </row>
    <row r="219" spans="1:16">
      <c r="A219" t="s">
        <v>30</v>
      </c>
      <c r="B219" t="s">
        <v>31</v>
      </c>
      <c r="C219" t="s">
        <v>271</v>
      </c>
      <c r="E219" s="1">
        <v>1.842766247249022</v>
      </c>
      <c r="F219" s="1">
        <v>2.44808504953089</v>
      </c>
      <c r="G219" s="5">
        <v>0.04511248499670469</v>
      </c>
      <c r="H219" s="1">
        <v>1.645865025157402</v>
      </c>
      <c r="I219" t="s">
        <v>86</v>
      </c>
      <c r="L219" t="s">
        <v>41</v>
      </c>
      <c r="M219" t="s">
        <v>494</v>
      </c>
      <c r="P219" t="s">
        <v>282</v>
      </c>
    </row>
    <row r="220" spans="1:16">
      <c r="A220" t="s">
        <v>30</v>
      </c>
      <c r="B220" t="s">
        <v>31</v>
      </c>
      <c r="C220" t="s">
        <v>416</v>
      </c>
      <c r="E220" s="1">
        <v>4.489549558503525</v>
      </c>
      <c r="F220" s="1">
        <v>16.37554067198863</v>
      </c>
      <c r="G220" s="5">
        <v>0.7351880139418309</v>
      </c>
      <c r="H220" s="1">
        <v>4.554960384496945</v>
      </c>
      <c r="I220" t="s">
        <v>86</v>
      </c>
      <c r="L220" t="s">
        <v>41</v>
      </c>
      <c r="M220" t="s">
        <v>495</v>
      </c>
      <c r="P220" t="s">
        <v>282</v>
      </c>
    </row>
    <row r="221" spans="1:16">
      <c r="A221" t="s">
        <v>30</v>
      </c>
      <c r="B221" t="s">
        <v>31</v>
      </c>
      <c r="C221" t="s">
        <v>274</v>
      </c>
      <c r="E221" s="1">
        <v>4.386072173476991</v>
      </c>
      <c r="F221" s="1">
        <v>12.09624276072283</v>
      </c>
      <c r="G221" s="5">
        <v>0.5305499377642892</v>
      </c>
      <c r="H221" s="1">
        <v>4.286343310399824</v>
      </c>
      <c r="I221" t="s">
        <v>86</v>
      </c>
      <c r="L221" t="s">
        <v>41</v>
      </c>
      <c r="M221" t="s">
        <v>496</v>
      </c>
      <c r="P221" t="s">
        <v>282</v>
      </c>
    </row>
    <row r="222" spans="1:16">
      <c r="A222" t="s">
        <v>30</v>
      </c>
      <c r="B222" t="s">
        <v>31</v>
      </c>
      <c r="C222" t="s">
        <v>119</v>
      </c>
      <c r="E222" s="1">
        <v>5.535141054245293</v>
      </c>
      <c r="F222" s="1">
        <v>10.46065852346718</v>
      </c>
      <c r="G222" s="5">
        <v>0.5790122044768419</v>
      </c>
      <c r="H222" s="1">
        <v>5.330358796410822</v>
      </c>
      <c r="I222" t="s">
        <v>86</v>
      </c>
      <c r="L222" t="s">
        <v>41</v>
      </c>
      <c r="M222" t="s">
        <v>497</v>
      </c>
      <c r="P222" t="s">
        <v>282</v>
      </c>
    </row>
    <row r="223" spans="1:16">
      <c r="A223" t="s">
        <v>30</v>
      </c>
      <c r="B223" t="s">
        <v>31</v>
      </c>
      <c r="C223" t="s">
        <v>433</v>
      </c>
      <c r="E223" s="1">
        <v>0.2561804961797632</v>
      </c>
      <c r="F223" s="1">
        <v>-7.807442791840947</v>
      </c>
      <c r="G223" s="5">
        <v>-0.0200011456830893</v>
      </c>
      <c r="H223" s="1">
        <v>0.205902702333251</v>
      </c>
      <c r="I223" t="s">
        <v>86</v>
      </c>
      <c r="L223" t="s">
        <v>41</v>
      </c>
      <c r="M223" t="s">
        <v>498</v>
      </c>
      <c r="P223" t="s">
        <v>282</v>
      </c>
    </row>
    <row r="224" spans="1:16">
      <c r="A224" t="s">
        <v>30</v>
      </c>
      <c r="B224" t="s">
        <v>31</v>
      </c>
      <c r="G224" s="2">
        <v>-2.101E-15</v>
      </c>
      <c r="I224" t="s">
        <v>57</v>
      </c>
      <c r="L224" t="s">
        <v>58</v>
      </c>
      <c r="M224" t="s">
        <v>499</v>
      </c>
      <c r="P224" t="s">
        <v>60</v>
      </c>
    </row>
    <row r="225" spans="1:16">
      <c r="A225" t="s">
        <v>30</v>
      </c>
      <c r="B225" t="s">
        <v>31</v>
      </c>
      <c r="C225" t="s">
        <v>61</v>
      </c>
      <c r="G225" s="6">
        <f>SUM(G201:G224)</f>
        <v>14.704347160252684</v>
      </c>
      <c r="I225" t="s">
        <v>64</v>
      </c>
      <c r="K225" s="1">
        <v>4.928188538958578</v>
      </c>
      <c r="L225" t="s">
        <v>62</v>
      </c>
      <c r="M225" t="s">
        <v>500</v>
      </c>
      <c r="N225" s="1">
        <v>14.70434716025268</v>
      </c>
      <c r="O225" s="2">
        <f>G225-N225</f>
        <v>0</v>
      </c>
    </row>
    <row r="226" spans="1:16">
      <c r="A226" t="s">
        <v>32</v>
      </c>
      <c r="B226" t="s">
        <v>33</v>
      </c>
      <c r="C226" t="s">
        <v>239</v>
      </c>
      <c r="E226" s="1">
        <v>3.431144671627529</v>
      </c>
      <c r="F226" s="1">
        <v>9.559348680455892</v>
      </c>
      <c r="G226" s="5">
        <v>0.327995082891759</v>
      </c>
      <c r="H226" s="1">
        <v>2.73436320537357</v>
      </c>
      <c r="I226" t="s">
        <v>86</v>
      </c>
      <c r="L226" t="s">
        <v>41</v>
      </c>
      <c r="M226" t="s">
        <v>501</v>
      </c>
      <c r="P226" t="s">
        <v>282</v>
      </c>
    </row>
    <row r="227" spans="1:16">
      <c r="A227" t="s">
        <v>32</v>
      </c>
      <c r="B227" t="s">
        <v>33</v>
      </c>
      <c r="C227" t="s">
        <v>414</v>
      </c>
      <c r="D227" t="s">
        <v>502</v>
      </c>
      <c r="E227" s="1">
        <v>1.213113136159158</v>
      </c>
      <c r="F227" s="1">
        <v>-28.92936656474135</v>
      </c>
      <c r="G227" s="5">
        <v>-0.3509459460045126</v>
      </c>
      <c r="H227" s="1">
        <v>0.6271323748485242</v>
      </c>
      <c r="I227" t="s">
        <v>293</v>
      </c>
      <c r="J227" t="s">
        <v>45</v>
      </c>
      <c r="L227" t="s">
        <v>41</v>
      </c>
      <c r="M227" t="s">
        <v>503</v>
      </c>
      <c r="P227" t="s">
        <v>282</v>
      </c>
    </row>
    <row r="228" spans="1:16">
      <c r="A228" t="s">
        <v>32</v>
      </c>
      <c r="B228" t="s">
        <v>33</v>
      </c>
      <c r="C228" t="s">
        <v>244</v>
      </c>
      <c r="E228" s="1">
        <v>4.418093000817443</v>
      </c>
      <c r="F228" s="1">
        <v>-12.75671766999288</v>
      </c>
      <c r="G228" s="5">
        <v>-0.5636036505119973</v>
      </c>
      <c r="H228" s="1">
        <v>2.803719612261999</v>
      </c>
      <c r="I228" t="s">
        <v>86</v>
      </c>
      <c r="J228" t="s">
        <v>50</v>
      </c>
      <c r="L228" t="s">
        <v>41</v>
      </c>
      <c r="M228" t="s">
        <v>504</v>
      </c>
      <c r="P228" t="s">
        <v>282</v>
      </c>
    </row>
    <row r="229" spans="1:16">
      <c r="A229" t="s">
        <v>32</v>
      </c>
      <c r="B229" t="s">
        <v>33</v>
      </c>
      <c r="C229" t="s">
        <v>246</v>
      </c>
      <c r="E229" s="1">
        <v>1.758886743574038</v>
      </c>
      <c r="F229" s="1">
        <v>46.4346561190163</v>
      </c>
      <c r="G229" s="5">
        <v>0.8167330109015687</v>
      </c>
      <c r="H229" s="1">
        <v>1.873481793063055</v>
      </c>
      <c r="I229" t="s">
        <v>86</v>
      </c>
      <c r="L229" t="s">
        <v>41</v>
      </c>
      <c r="M229" t="s">
        <v>505</v>
      </c>
      <c r="P229" t="s">
        <v>282</v>
      </c>
    </row>
    <row r="230" spans="1:16">
      <c r="A230" t="s">
        <v>32</v>
      </c>
      <c r="B230" t="s">
        <v>33</v>
      </c>
      <c r="C230" t="s">
        <v>350</v>
      </c>
      <c r="E230" s="1">
        <v>7.89619566911533</v>
      </c>
      <c r="F230" s="1">
        <v>19.8386706863974</v>
      </c>
      <c r="G230" s="5">
        <v>1.566500255549364</v>
      </c>
      <c r="H230" s="1">
        <v>6.883076780780751</v>
      </c>
      <c r="I230" t="s">
        <v>86</v>
      </c>
      <c r="L230" t="s">
        <v>41</v>
      </c>
      <c r="M230" t="s">
        <v>506</v>
      </c>
      <c r="P230" t="s">
        <v>282</v>
      </c>
    </row>
    <row r="231" spans="1:16">
      <c r="A231" t="s">
        <v>32</v>
      </c>
      <c r="B231" t="s">
        <v>33</v>
      </c>
      <c r="C231" t="s">
        <v>507</v>
      </c>
      <c r="E231" s="1">
        <v>6.512474610576928</v>
      </c>
      <c r="F231" s="1">
        <v>18.77388676257585</v>
      </c>
      <c r="G231" s="5">
        <v>1.222644608831216</v>
      </c>
      <c r="H231" s="1">
        <v>5.626453594150095</v>
      </c>
      <c r="I231" t="s">
        <v>86</v>
      </c>
      <c r="L231" t="s">
        <v>41</v>
      </c>
      <c r="M231" t="s">
        <v>508</v>
      </c>
      <c r="P231" t="s">
        <v>282</v>
      </c>
    </row>
    <row r="232" spans="1:16">
      <c r="A232" t="s">
        <v>32</v>
      </c>
      <c r="B232" t="s">
        <v>33</v>
      </c>
      <c r="C232" t="s">
        <v>250</v>
      </c>
      <c r="E232" s="1">
        <v>1.364985783169974</v>
      </c>
      <c r="F232" s="1">
        <v>21.73373205018185</v>
      </c>
      <c r="G232" s="5">
        <v>0.2966623526372383</v>
      </c>
      <c r="H232" s="1">
        <v>1.208667359963542</v>
      </c>
      <c r="I232" t="s">
        <v>86</v>
      </c>
      <c r="L232" t="s">
        <v>41</v>
      </c>
      <c r="M232" t="s">
        <v>509</v>
      </c>
      <c r="P232" t="s">
        <v>282</v>
      </c>
    </row>
    <row r="233" spans="1:16">
      <c r="A233" t="s">
        <v>32</v>
      </c>
      <c r="B233" t="s">
        <v>33</v>
      </c>
      <c r="C233" t="s">
        <v>254</v>
      </c>
      <c r="E233" s="1">
        <v>2.430925753969961</v>
      </c>
      <c r="F233" s="1">
        <v>33.97350344495382</v>
      </c>
      <c r="G233" s="5">
        <v>0.8258706447692544</v>
      </c>
      <c r="H233" s="1">
        <v>2.368963332475104</v>
      </c>
      <c r="I233" t="s">
        <v>86</v>
      </c>
      <c r="L233" t="s">
        <v>41</v>
      </c>
      <c r="M233" t="s">
        <v>510</v>
      </c>
      <c r="P233" t="s">
        <v>282</v>
      </c>
    </row>
    <row r="234" spans="1:16">
      <c r="A234" t="s">
        <v>32</v>
      </c>
      <c r="B234" t="s">
        <v>33</v>
      </c>
      <c r="C234" t="s">
        <v>256</v>
      </c>
      <c r="E234" s="1">
        <v>2.671929568681103</v>
      </c>
      <c r="F234" s="1">
        <v>44.75017721098671</v>
      </c>
      <c r="G234" s="5">
        <v>1.195693216937546</v>
      </c>
      <c r="H234" s="1">
        <v>2.813272750646228</v>
      </c>
      <c r="I234" t="s">
        <v>86</v>
      </c>
      <c r="L234" t="s">
        <v>41</v>
      </c>
      <c r="M234" t="s">
        <v>511</v>
      </c>
      <c r="P234" t="s">
        <v>282</v>
      </c>
    </row>
    <row r="235" spans="1:16">
      <c r="A235" t="s">
        <v>32</v>
      </c>
      <c r="B235" t="s">
        <v>33</v>
      </c>
      <c r="C235" t="s">
        <v>141</v>
      </c>
      <c r="E235" s="1">
        <v>8.433855816170666</v>
      </c>
      <c r="F235" s="1">
        <v>43.66617343116958</v>
      </c>
      <c r="G235" s="5">
        <v>3.682742107623866</v>
      </c>
      <c r="H235" s="1">
        <v>8.813500348663233</v>
      </c>
      <c r="I235" t="s">
        <v>86</v>
      </c>
      <c r="J235" t="s">
        <v>71</v>
      </c>
      <c r="L235" t="s">
        <v>41</v>
      </c>
      <c r="M235" t="s">
        <v>512</v>
      </c>
      <c r="P235" t="s">
        <v>282</v>
      </c>
    </row>
    <row r="236" spans="1:16">
      <c r="A236" t="s">
        <v>32</v>
      </c>
      <c r="B236" t="s">
        <v>33</v>
      </c>
      <c r="C236" t="s">
        <v>513</v>
      </c>
      <c r="E236" s="1">
        <v>4.341649740384618</v>
      </c>
      <c r="F236" s="1">
        <v>17.36939190640592</v>
      </c>
      <c r="G236" s="5">
        <v>0.7541181586108591</v>
      </c>
      <c r="H236" s="1">
        <v>3.706614054288819</v>
      </c>
      <c r="I236" t="s">
        <v>86</v>
      </c>
      <c r="L236" t="s">
        <v>41</v>
      </c>
      <c r="M236" t="s">
        <v>514</v>
      </c>
      <c r="P236" t="s">
        <v>282</v>
      </c>
    </row>
    <row r="237" spans="1:16">
      <c r="A237" t="s">
        <v>32</v>
      </c>
      <c r="B237" t="s">
        <v>33</v>
      </c>
      <c r="C237" t="s">
        <v>260</v>
      </c>
      <c r="E237" s="1">
        <v>4.017513019549549</v>
      </c>
      <c r="F237" s="1">
        <v>19.84880358259698</v>
      </c>
      <c r="G237" s="5">
        <v>0.7974282681556508</v>
      </c>
      <c r="H237" s="1">
        <v>3.502343395801403</v>
      </c>
      <c r="I237" t="s">
        <v>86</v>
      </c>
      <c r="L237" t="s">
        <v>41</v>
      </c>
      <c r="M237" t="s">
        <v>515</v>
      </c>
      <c r="P237" t="s">
        <v>282</v>
      </c>
    </row>
    <row r="238" spans="1:16">
      <c r="A238" t="s">
        <v>32</v>
      </c>
      <c r="B238" t="s">
        <v>33</v>
      </c>
      <c r="C238" t="s">
        <v>264</v>
      </c>
      <c r="E238" s="1">
        <v>3.325132609281674</v>
      </c>
      <c r="F238" s="1">
        <v>35.73047978960442</v>
      </c>
      <c r="G238" s="5">
        <v>1.188085834936934</v>
      </c>
      <c r="H238" s="1">
        <v>3.28287301286111</v>
      </c>
      <c r="I238" t="s">
        <v>109</v>
      </c>
      <c r="L238" t="s">
        <v>41</v>
      </c>
      <c r="M238" t="s">
        <v>516</v>
      </c>
      <c r="P238" t="s">
        <v>282</v>
      </c>
    </row>
    <row r="239" spans="1:16">
      <c r="A239" t="s">
        <v>32</v>
      </c>
      <c r="B239" t="s">
        <v>33</v>
      </c>
      <c r="C239" t="s">
        <v>405</v>
      </c>
      <c r="E239" s="1">
        <v>1.722275808862149</v>
      </c>
      <c r="F239" s="1">
        <v>44.37398521083171</v>
      </c>
      <c r="G239" s="5">
        <v>0.764242412714222</v>
      </c>
      <c r="H239" s="1">
        <v>1.808670168858567</v>
      </c>
      <c r="I239" t="s">
        <v>86</v>
      </c>
      <c r="L239" t="s">
        <v>41</v>
      </c>
      <c r="M239" t="s">
        <v>517</v>
      </c>
      <c r="P239" t="s">
        <v>282</v>
      </c>
    </row>
    <row r="240" spans="1:16">
      <c r="A240" t="s">
        <v>32</v>
      </c>
      <c r="B240" t="s">
        <v>33</v>
      </c>
      <c r="C240" t="s">
        <v>268</v>
      </c>
      <c r="E240" s="1">
        <v>17.73463582755106</v>
      </c>
      <c r="F240" s="1">
        <v>90.83203878634987</v>
      </c>
      <c r="G240" s="5">
        <v>16.10873129349908</v>
      </c>
      <c r="H240" s="1">
        <v>24.61734967168918</v>
      </c>
      <c r="I240" t="s">
        <v>86</v>
      </c>
      <c r="J240" t="s">
        <v>79</v>
      </c>
      <c r="L240" t="s">
        <v>41</v>
      </c>
      <c r="M240" t="s">
        <v>518</v>
      </c>
      <c r="P240" t="s">
        <v>282</v>
      </c>
    </row>
    <row r="241" spans="1:16">
      <c r="A241" t="s">
        <v>32</v>
      </c>
      <c r="B241" t="s">
        <v>33</v>
      </c>
      <c r="C241" t="s">
        <v>408</v>
      </c>
      <c r="E241" s="1">
        <v>2.876372387866616</v>
      </c>
      <c r="F241" s="1">
        <v>13.27147632280441</v>
      </c>
      <c r="G241" s="5">
        <v>0.3817370804114016</v>
      </c>
      <c r="H241" s="1">
        <v>2.369918447013924</v>
      </c>
      <c r="I241" t="s">
        <v>86</v>
      </c>
      <c r="L241" t="s">
        <v>41</v>
      </c>
      <c r="M241" t="s">
        <v>519</v>
      </c>
      <c r="P241" t="s">
        <v>282</v>
      </c>
    </row>
    <row r="242" spans="1:16">
      <c r="A242" t="s">
        <v>32</v>
      </c>
      <c r="B242" t="s">
        <v>33</v>
      </c>
      <c r="C242" t="s">
        <v>338</v>
      </c>
      <c r="E242" s="1">
        <v>7.58836592578964</v>
      </c>
      <c r="F242" s="1">
        <v>43.16217396460424</v>
      </c>
      <c r="G242" s="5">
        <v>3.275303701960076</v>
      </c>
      <c r="H242" s="1">
        <v>7.902131989038502</v>
      </c>
      <c r="I242" t="s">
        <v>86</v>
      </c>
      <c r="J242" t="s">
        <v>69</v>
      </c>
      <c r="L242" t="s">
        <v>41</v>
      </c>
      <c r="M242" t="s">
        <v>520</v>
      </c>
      <c r="P242" t="s">
        <v>282</v>
      </c>
    </row>
    <row r="243" spans="1:16">
      <c r="A243" t="s">
        <v>32</v>
      </c>
      <c r="B243" t="s">
        <v>33</v>
      </c>
      <c r="C243" t="s">
        <v>441</v>
      </c>
      <c r="E243" s="1">
        <v>1.876120206280088</v>
      </c>
      <c r="F243" s="1">
        <v>7.552668076586766</v>
      </c>
      <c r="G243" s="5">
        <v>0.1416971318981098</v>
      </c>
      <c r="H243" s="1">
        <v>1.467741516671774</v>
      </c>
      <c r="I243" t="s">
        <v>86</v>
      </c>
      <c r="L243" t="s">
        <v>41</v>
      </c>
      <c r="M243" t="s">
        <v>521</v>
      </c>
      <c r="P243" t="s">
        <v>282</v>
      </c>
    </row>
    <row r="244" spans="1:16">
      <c r="A244" t="s">
        <v>32</v>
      </c>
      <c r="B244" t="s">
        <v>33</v>
      </c>
      <c r="C244" t="s">
        <v>271</v>
      </c>
      <c r="E244" s="1">
        <v>1.683140663985132</v>
      </c>
      <c r="F244" s="1">
        <v>8.260846981202086</v>
      </c>
      <c r="G244" s="5">
        <v>0.1390416747302004</v>
      </c>
      <c r="H244" s="1">
        <v>1.325438442259223</v>
      </c>
      <c r="I244" t="s">
        <v>86</v>
      </c>
      <c r="L244" t="s">
        <v>41</v>
      </c>
      <c r="M244" t="s">
        <v>522</v>
      </c>
      <c r="P244" t="s">
        <v>282</v>
      </c>
    </row>
    <row r="245" spans="1:16">
      <c r="A245" t="s">
        <v>32</v>
      </c>
      <c r="B245" t="s">
        <v>33</v>
      </c>
      <c r="C245" t="s">
        <v>416</v>
      </c>
      <c r="E245" s="1">
        <v>4.658121370101392</v>
      </c>
      <c r="F245" s="1">
        <v>52.90517112597639</v>
      </c>
      <c r="G245" s="5">
        <v>2.464387082107817</v>
      </c>
      <c r="H245" s="1">
        <v>5.180846234373004</v>
      </c>
      <c r="I245" t="s">
        <v>86</v>
      </c>
      <c r="L245" t="s">
        <v>41</v>
      </c>
      <c r="M245" t="s">
        <v>523</v>
      </c>
      <c r="P245" t="s">
        <v>282</v>
      </c>
    </row>
    <row r="246" spans="1:16">
      <c r="A246" t="s">
        <v>32</v>
      </c>
      <c r="B246" t="s">
        <v>33</v>
      </c>
      <c r="C246" t="s">
        <v>274</v>
      </c>
      <c r="E246" s="1">
        <v>4.383420642190648</v>
      </c>
      <c r="F246" s="1">
        <v>-2.255673483956577</v>
      </c>
      <c r="G246" s="5">
        <v>-0.09887565711617373</v>
      </c>
      <c r="H246" s="1">
        <v>3.116538070943216</v>
      </c>
      <c r="I246" t="s">
        <v>86</v>
      </c>
      <c r="J246" t="s">
        <v>53</v>
      </c>
      <c r="L246" t="s">
        <v>41</v>
      </c>
      <c r="M246" t="s">
        <v>524</v>
      </c>
      <c r="P246" t="s">
        <v>282</v>
      </c>
    </row>
    <row r="247" spans="1:16">
      <c r="A247" t="s">
        <v>32</v>
      </c>
      <c r="B247" t="s">
        <v>33</v>
      </c>
      <c r="C247" t="s">
        <v>119</v>
      </c>
      <c r="E247" s="1">
        <v>5.451081046583321</v>
      </c>
      <c r="F247" s="1">
        <v>45.94157960750556</v>
      </c>
      <c r="G247" s="5">
        <v>2.504312738485724</v>
      </c>
      <c r="H247" s="1">
        <v>5.786679259263692</v>
      </c>
      <c r="I247" t="s">
        <v>109</v>
      </c>
      <c r="L247" t="s">
        <v>41</v>
      </c>
      <c r="M247" t="s">
        <v>525</v>
      </c>
      <c r="P247" t="s">
        <v>282</v>
      </c>
    </row>
    <row r="248" spans="1:16">
      <c r="A248" t="s">
        <v>32</v>
      </c>
      <c r="B248" t="s">
        <v>33</v>
      </c>
      <c r="C248" t="s">
        <v>433</v>
      </c>
      <c r="E248" s="1">
        <v>0.2105659977119798</v>
      </c>
      <c r="F248" s="1">
        <v>17.66791592499784</v>
      </c>
      <c r="G248" s="5">
        <v>0.03720262344238545</v>
      </c>
      <c r="H248" s="1">
        <v>0.1802245847114763</v>
      </c>
      <c r="I248" t="s">
        <v>86</v>
      </c>
      <c r="L248" t="s">
        <v>41</v>
      </c>
      <c r="M248" t="s">
        <v>526</v>
      </c>
      <c r="P248" t="s">
        <v>282</v>
      </c>
    </row>
    <row r="249" spans="1:16">
      <c r="A249" t="s">
        <v>32</v>
      </c>
      <c r="B249" t="s">
        <v>33</v>
      </c>
      <c r="G249" s="2">
        <v>1.056E-14</v>
      </c>
      <c r="I249" t="s">
        <v>57</v>
      </c>
      <c r="L249" t="s">
        <v>58</v>
      </c>
      <c r="M249" t="s">
        <v>527</v>
      </c>
      <c r="P249" t="s">
        <v>60</v>
      </c>
    </row>
    <row r="250" spans="1:16">
      <c r="A250" t="s">
        <v>32</v>
      </c>
      <c r="B250" t="s">
        <v>33</v>
      </c>
      <c r="C250" t="s">
        <v>61</v>
      </c>
      <c r="G250" s="6">
        <f>SUM(G226:G249)</f>
        <v>37.4777040274616</v>
      </c>
      <c r="I250" t="s">
        <v>64</v>
      </c>
      <c r="K250" s="1">
        <v>12.06397079089039</v>
      </c>
      <c r="L250" t="s">
        <v>62</v>
      </c>
      <c r="M250" t="s">
        <v>528</v>
      </c>
      <c r="N250" s="1">
        <v>37.4777040274616</v>
      </c>
      <c r="O250" s="2">
        <f>G250-N250</f>
        <v>0</v>
      </c>
    </row>
    <row r="251" spans="1:16">
      <c r="A251" t="s">
        <v>34</v>
      </c>
      <c r="B251" t="s">
        <v>35</v>
      </c>
      <c r="C251" t="s">
        <v>239</v>
      </c>
      <c r="E251" s="1">
        <v>2.751619502103909</v>
      </c>
      <c r="F251" s="1">
        <v>24.46009969429956</v>
      </c>
      <c r="G251" s="5">
        <v>0.6730488734224054</v>
      </c>
      <c r="H251" s="1">
        <v>2.696221321289311</v>
      </c>
      <c r="I251" t="s">
        <v>86</v>
      </c>
      <c r="L251" t="s">
        <v>41</v>
      </c>
      <c r="M251" t="s">
        <v>529</v>
      </c>
      <c r="P251" t="s">
        <v>282</v>
      </c>
    </row>
    <row r="252" spans="1:16">
      <c r="A252" t="s">
        <v>34</v>
      </c>
      <c r="B252" t="s">
        <v>35</v>
      </c>
      <c r="C252" t="s">
        <v>244</v>
      </c>
      <c r="E252" s="1">
        <v>2.821413610441461</v>
      </c>
      <c r="F252" s="1">
        <v>-8.132750008560008</v>
      </c>
      <c r="G252" s="5">
        <v>-0.2294585156446911</v>
      </c>
      <c r="H252" s="1">
        <v>2.040631040470157</v>
      </c>
      <c r="I252" t="s">
        <v>86</v>
      </c>
      <c r="J252" t="s">
        <v>50</v>
      </c>
      <c r="L252" t="s">
        <v>41</v>
      </c>
      <c r="M252" t="s">
        <v>530</v>
      </c>
      <c r="P252" t="s">
        <v>282</v>
      </c>
    </row>
    <row r="253" spans="1:16">
      <c r="A253" t="s">
        <v>34</v>
      </c>
      <c r="B253" t="s">
        <v>35</v>
      </c>
      <c r="C253" t="s">
        <v>246</v>
      </c>
      <c r="E253" s="1">
        <v>1.88530515203616</v>
      </c>
      <c r="F253" s="1">
        <v>16.87478780970304</v>
      </c>
      <c r="G253" s="5">
        <v>0.3181412439715012</v>
      </c>
      <c r="H253" s="1">
        <v>1.734760421093595</v>
      </c>
      <c r="I253" t="s">
        <v>86</v>
      </c>
      <c r="L253" t="s">
        <v>41</v>
      </c>
      <c r="M253" t="s">
        <v>531</v>
      </c>
      <c r="P253" t="s">
        <v>282</v>
      </c>
    </row>
    <row r="254" spans="1:16">
      <c r="A254" t="s">
        <v>34</v>
      </c>
      <c r="B254" t="s">
        <v>35</v>
      </c>
      <c r="C254" t="s">
        <v>350</v>
      </c>
      <c r="E254" s="1">
        <v>6.926515200049065</v>
      </c>
      <c r="F254" s="1">
        <v>24.63195011539947</v>
      </c>
      <c r="G254" s="5">
        <v>1.706135768811647</v>
      </c>
      <c r="H254" s="1">
        <v>6.796435464474428</v>
      </c>
      <c r="I254" t="s">
        <v>86</v>
      </c>
      <c r="L254" t="s">
        <v>41</v>
      </c>
      <c r="M254" t="s">
        <v>532</v>
      </c>
      <c r="P254" t="s">
        <v>282</v>
      </c>
    </row>
    <row r="255" spans="1:16">
      <c r="A255" t="s">
        <v>34</v>
      </c>
      <c r="B255" t="s">
        <v>35</v>
      </c>
      <c r="C255" t="s">
        <v>507</v>
      </c>
      <c r="E255" s="1">
        <v>5.66196158832195</v>
      </c>
      <c r="F255" s="1">
        <v>61.66964058132854</v>
      </c>
      <c r="G255" s="5">
        <v>3.491711361371027</v>
      </c>
      <c r="H255" s="1">
        <v>7.206633013416508</v>
      </c>
      <c r="I255" t="s">
        <v>86</v>
      </c>
      <c r="J255" t="s">
        <v>71</v>
      </c>
      <c r="L255" t="s">
        <v>41</v>
      </c>
      <c r="M255" t="s">
        <v>533</v>
      </c>
      <c r="P255" t="s">
        <v>282</v>
      </c>
    </row>
    <row r="256" spans="1:16">
      <c r="A256" t="s">
        <v>34</v>
      </c>
      <c r="B256" t="s">
        <v>35</v>
      </c>
      <c r="C256" t="s">
        <v>250</v>
      </c>
      <c r="E256" s="1">
        <v>1.216295140563726</v>
      </c>
      <c r="F256" s="1">
        <v>7.096022013324554</v>
      </c>
      <c r="G256" s="5">
        <v>0.0863085709213989</v>
      </c>
      <c r="H256" s="1">
        <v>1.025532260348283</v>
      </c>
      <c r="I256" t="s">
        <v>86</v>
      </c>
      <c r="L256" t="s">
        <v>41</v>
      </c>
      <c r="M256" t="s">
        <v>534</v>
      </c>
      <c r="P256" t="s">
        <v>282</v>
      </c>
    </row>
    <row r="257" spans="1:16">
      <c r="A257" t="s">
        <v>34</v>
      </c>
      <c r="B257" t="s">
        <v>35</v>
      </c>
      <c r="C257" t="s">
        <v>254</v>
      </c>
      <c r="E257" s="1">
        <v>2.383913626616039</v>
      </c>
      <c r="F257" s="1">
        <v>17.95165395134388</v>
      </c>
      <c r="G257" s="5">
        <v>0.4279519247490435</v>
      </c>
      <c r="H257" s="1">
        <v>2.213765252825195</v>
      </c>
      <c r="I257" t="s">
        <v>86</v>
      </c>
      <c r="L257" t="s">
        <v>41</v>
      </c>
      <c r="M257" t="s">
        <v>535</v>
      </c>
      <c r="P257" t="s">
        <v>282</v>
      </c>
    </row>
    <row r="258" spans="1:16">
      <c r="A258" t="s">
        <v>34</v>
      </c>
      <c r="B258" t="s">
        <v>35</v>
      </c>
      <c r="C258" t="s">
        <v>256</v>
      </c>
      <c r="D258" t="s">
        <v>536</v>
      </c>
      <c r="E258" s="1">
        <v>2.831027037740614</v>
      </c>
      <c r="F258" s="1">
        <v>38.62738680262225</v>
      </c>
      <c r="G258" s="5">
        <v>1.093551764354886</v>
      </c>
      <c r="H258" s="1">
        <v>3.089797867410664</v>
      </c>
      <c r="I258" t="s">
        <v>293</v>
      </c>
      <c r="L258" t="s">
        <v>41</v>
      </c>
      <c r="M258" t="s">
        <v>537</v>
      </c>
      <c r="P258" t="s">
        <v>282</v>
      </c>
    </row>
    <row r="259" spans="1:16">
      <c r="A259" t="s">
        <v>34</v>
      </c>
      <c r="B259" t="s">
        <v>35</v>
      </c>
      <c r="C259" t="s">
        <v>141</v>
      </c>
      <c r="E259" s="1">
        <v>8.869121480834188</v>
      </c>
      <c r="F259" s="1">
        <v>124.9603148666702</v>
      </c>
      <c r="G259" s="5">
        <v>11.08288212835789</v>
      </c>
      <c r="H259" s="1">
        <v>15.70809539340508</v>
      </c>
      <c r="I259" t="s">
        <v>86</v>
      </c>
      <c r="J259" t="s">
        <v>79</v>
      </c>
      <c r="L259" t="s">
        <v>41</v>
      </c>
      <c r="M259" t="s">
        <v>538</v>
      </c>
      <c r="P259" t="s">
        <v>282</v>
      </c>
    </row>
    <row r="260" spans="1:16">
      <c r="A260" t="s">
        <v>34</v>
      </c>
      <c r="B260" t="s">
        <v>35</v>
      </c>
      <c r="C260" t="s">
        <v>513</v>
      </c>
      <c r="D260" t="s">
        <v>539</v>
      </c>
      <c r="E260" s="1">
        <v>3.730006130315865</v>
      </c>
      <c r="F260" s="1">
        <v>82.38301536255506</v>
      </c>
      <c r="G260" s="5">
        <v>3.072891523362364</v>
      </c>
      <c r="H260" s="1">
        <v>5.355881413649983</v>
      </c>
      <c r="I260" t="s">
        <v>434</v>
      </c>
      <c r="J260" t="s">
        <v>69</v>
      </c>
      <c r="L260" t="s">
        <v>41</v>
      </c>
      <c r="M260" t="s">
        <v>540</v>
      </c>
      <c r="P260" t="s">
        <v>282</v>
      </c>
    </row>
    <row r="261" spans="1:16">
      <c r="A261" t="s">
        <v>34</v>
      </c>
      <c r="B261" t="s">
        <v>35</v>
      </c>
      <c r="C261" t="s">
        <v>260</v>
      </c>
      <c r="E261" s="1">
        <v>3.524446339832656</v>
      </c>
      <c r="F261" s="1">
        <v>10.52647437476624</v>
      </c>
      <c r="G261" s="5">
        <v>0.3709999408148708</v>
      </c>
      <c r="H261" s="1">
        <v>3.066862004180149</v>
      </c>
      <c r="I261" t="s">
        <v>86</v>
      </c>
      <c r="L261" t="s">
        <v>41</v>
      </c>
      <c r="M261" t="s">
        <v>541</v>
      </c>
      <c r="P261" t="s">
        <v>282</v>
      </c>
    </row>
    <row r="262" spans="1:16">
      <c r="A262" t="s">
        <v>34</v>
      </c>
      <c r="B262" t="s">
        <v>35</v>
      </c>
      <c r="C262" t="s">
        <v>264</v>
      </c>
      <c r="E262" s="1">
        <v>3.303590900933414</v>
      </c>
      <c r="F262" s="1">
        <v>28.37845637192702</v>
      </c>
      <c r="G262" s="5">
        <v>0.9375081025283396</v>
      </c>
      <c r="H262" s="1">
        <v>3.338992365085588</v>
      </c>
      <c r="I262" t="s">
        <v>109</v>
      </c>
      <c r="L262" t="s">
        <v>41</v>
      </c>
      <c r="M262" t="s">
        <v>542</v>
      </c>
      <c r="P262" t="s">
        <v>282</v>
      </c>
    </row>
    <row r="263" spans="1:16">
      <c r="A263" t="s">
        <v>34</v>
      </c>
      <c r="B263" t="s">
        <v>35</v>
      </c>
      <c r="C263" t="s">
        <v>405</v>
      </c>
      <c r="D263" t="s">
        <v>543</v>
      </c>
      <c r="E263" s="1">
        <v>1.820084508058202</v>
      </c>
      <c r="F263" s="1">
        <v>44.99888264891317</v>
      </c>
      <c r="G263" s="5">
        <v>0.8190176918921591</v>
      </c>
      <c r="H263" s="1">
        <v>2.077749679769838</v>
      </c>
      <c r="I263" t="s">
        <v>544</v>
      </c>
      <c r="L263" t="s">
        <v>41</v>
      </c>
      <c r="M263" t="s">
        <v>545</v>
      </c>
      <c r="P263" t="s">
        <v>282</v>
      </c>
    </row>
    <row r="264" spans="1:16">
      <c r="A264" t="s">
        <v>34</v>
      </c>
      <c r="B264" t="s">
        <v>35</v>
      </c>
      <c r="C264" t="s">
        <v>268</v>
      </c>
      <c r="E264" s="1">
        <v>24.77270733954192</v>
      </c>
      <c r="F264" s="1">
        <v>1.816897023486352</v>
      </c>
      <c r="G264" s="5">
        <v>0.450094582289124</v>
      </c>
      <c r="H264" s="1">
        <v>19.85776398389127</v>
      </c>
      <c r="I264" t="s">
        <v>86</v>
      </c>
      <c r="L264" t="s">
        <v>41</v>
      </c>
      <c r="M264" t="s">
        <v>546</v>
      </c>
      <c r="P264" t="s">
        <v>282</v>
      </c>
    </row>
    <row r="265" spans="1:16">
      <c r="A265" t="s">
        <v>34</v>
      </c>
      <c r="B265" t="s">
        <v>35</v>
      </c>
      <c r="C265" t="s">
        <v>408</v>
      </c>
      <c r="E265" s="1">
        <v>2.384874768788591</v>
      </c>
      <c r="F265" s="1">
        <v>-2.283477384948274</v>
      </c>
      <c r="G265" s="5">
        <v>-0.05445807600462487</v>
      </c>
      <c r="H265" s="1">
        <v>1.834723390876353</v>
      </c>
      <c r="I265" t="s">
        <v>86</v>
      </c>
      <c r="J265" t="s">
        <v>45</v>
      </c>
      <c r="L265" t="s">
        <v>41</v>
      </c>
      <c r="M265" t="s">
        <v>547</v>
      </c>
      <c r="P265" t="s">
        <v>282</v>
      </c>
    </row>
    <row r="266" spans="1:16">
      <c r="A266" t="s">
        <v>34</v>
      </c>
      <c r="B266" t="s">
        <v>35</v>
      </c>
      <c r="C266" t="s">
        <v>338</v>
      </c>
      <c r="E266" s="1">
        <v>7.95200156530298</v>
      </c>
      <c r="F266" s="1">
        <v>-0.3321192799032313</v>
      </c>
      <c r="G266" s="5">
        <v>-0.02641013033657783</v>
      </c>
      <c r="H266" s="1">
        <v>6.239771641392949</v>
      </c>
      <c r="I266" t="s">
        <v>86</v>
      </c>
      <c r="L266" t="s">
        <v>41</v>
      </c>
      <c r="M266" t="s">
        <v>548</v>
      </c>
      <c r="P266" t="s">
        <v>282</v>
      </c>
    </row>
    <row r="267" spans="1:16">
      <c r="A267" t="s">
        <v>34</v>
      </c>
      <c r="B267" t="s">
        <v>35</v>
      </c>
      <c r="C267" t="s">
        <v>441</v>
      </c>
      <c r="E267" s="1">
        <v>1.477004288744391</v>
      </c>
      <c r="F267" s="1">
        <v>25.07487957850432</v>
      </c>
      <c r="G267" s="5">
        <v>0.3703570467720003</v>
      </c>
      <c r="H267" s="1">
        <v>1.454416741936162</v>
      </c>
      <c r="I267" t="s">
        <v>86</v>
      </c>
      <c r="L267" t="s">
        <v>41</v>
      </c>
      <c r="M267" t="s">
        <v>549</v>
      </c>
      <c r="P267" t="s">
        <v>282</v>
      </c>
    </row>
    <row r="268" spans="1:16">
      <c r="A268" t="s">
        <v>34</v>
      </c>
      <c r="B268" t="s">
        <v>35</v>
      </c>
      <c r="C268" t="s">
        <v>271</v>
      </c>
      <c r="E268" s="1">
        <v>1.333803153652529</v>
      </c>
      <c r="F268" s="1">
        <v>11.67691254998202</v>
      </c>
      <c r="G268" s="5">
        <v>0.1557470278409081</v>
      </c>
      <c r="H268" s="1">
        <v>1.172714119467334</v>
      </c>
      <c r="I268" t="s">
        <v>109</v>
      </c>
      <c r="L268" t="s">
        <v>41</v>
      </c>
      <c r="M268" t="s">
        <v>550</v>
      </c>
      <c r="P268" t="s">
        <v>282</v>
      </c>
    </row>
    <row r="269" spans="1:16">
      <c r="A269" t="s">
        <v>34</v>
      </c>
      <c r="B269" t="s">
        <v>35</v>
      </c>
      <c r="C269" t="s">
        <v>416</v>
      </c>
      <c r="E269" s="1">
        <v>5.213542044409839</v>
      </c>
      <c r="F269" s="1">
        <v>6.487630450354365</v>
      </c>
      <c r="G269" s="5">
        <v>0.3382353412151597</v>
      </c>
      <c r="H269" s="1">
        <v>4.370881766288828</v>
      </c>
      <c r="I269" t="s">
        <v>86</v>
      </c>
      <c r="L269" t="s">
        <v>41</v>
      </c>
      <c r="M269" t="s">
        <v>551</v>
      </c>
      <c r="P269" t="s">
        <v>282</v>
      </c>
    </row>
    <row r="270" spans="1:16">
      <c r="A270" t="s">
        <v>34</v>
      </c>
      <c r="B270" t="s">
        <v>35</v>
      </c>
      <c r="C270" t="s">
        <v>274</v>
      </c>
      <c r="E270" s="1">
        <v>3.13620623558861</v>
      </c>
      <c r="F270" s="1">
        <v>29.6321430959364</v>
      </c>
      <c r="G270" s="5">
        <v>0.9293251195132971</v>
      </c>
      <c r="H270" s="1">
        <v>3.200768985496698</v>
      </c>
      <c r="I270" t="s">
        <v>86</v>
      </c>
      <c r="L270" t="s">
        <v>41</v>
      </c>
      <c r="M270" t="s">
        <v>552</v>
      </c>
      <c r="P270" t="s">
        <v>282</v>
      </c>
    </row>
    <row r="271" spans="1:16">
      <c r="A271" t="s">
        <v>34</v>
      </c>
      <c r="B271" t="s">
        <v>35</v>
      </c>
      <c r="C271" t="s">
        <v>119</v>
      </c>
      <c r="E271" s="1">
        <v>5.823198421818585</v>
      </c>
      <c r="F271" s="1">
        <v>17.91078856891319</v>
      </c>
      <c r="G271" s="5">
        <v>1.042980757280217</v>
      </c>
      <c r="H271" s="1">
        <v>5.405702587373537</v>
      </c>
      <c r="I271" t="s">
        <v>86</v>
      </c>
      <c r="L271" t="s">
        <v>41</v>
      </c>
      <c r="M271" t="s">
        <v>553</v>
      </c>
      <c r="P271" t="s">
        <v>282</v>
      </c>
    </row>
    <row r="272" spans="1:16">
      <c r="A272" t="s">
        <v>34</v>
      </c>
      <c r="B272" t="s">
        <v>35</v>
      </c>
      <c r="C272" t="s">
        <v>433</v>
      </c>
      <c r="E272" s="1">
        <v>0.1813619643052961</v>
      </c>
      <c r="F272" s="1">
        <v>-21.63103907293512</v>
      </c>
      <c r="G272" s="5">
        <v>-0.03923047736232124</v>
      </c>
      <c r="H272" s="1">
        <v>0.1118992858580965</v>
      </c>
      <c r="I272" t="s">
        <v>86</v>
      </c>
      <c r="J272" t="s">
        <v>53</v>
      </c>
      <c r="L272" t="s">
        <v>41</v>
      </c>
      <c r="M272" t="s">
        <v>554</v>
      </c>
      <c r="P272" t="s">
        <v>282</v>
      </c>
    </row>
    <row r="273" spans="1:16">
      <c r="A273" t="s">
        <v>34</v>
      </c>
      <c r="B273" t="s">
        <v>35</v>
      </c>
      <c r="G273" s="2">
        <v>-1.615E-14</v>
      </c>
      <c r="I273" t="s">
        <v>57</v>
      </c>
      <c r="L273" t="s">
        <v>58</v>
      </c>
      <c r="M273" t="s">
        <v>555</v>
      </c>
      <c r="P273" t="s">
        <v>60</v>
      </c>
    </row>
    <row r="274" spans="1:16">
      <c r="A274" t="s">
        <v>34</v>
      </c>
      <c r="B274" t="s">
        <v>35</v>
      </c>
      <c r="C274" t="s">
        <v>61</v>
      </c>
      <c r="G274" s="6">
        <f>SUM(G251:G273)</f>
        <v>27.017331570120007</v>
      </c>
      <c r="I274" t="s">
        <v>64</v>
      </c>
      <c r="K274" s="1">
        <v>23.88795185755459</v>
      </c>
      <c r="L274" t="s">
        <v>62</v>
      </c>
      <c r="M274" t="s">
        <v>556</v>
      </c>
      <c r="N274" s="1">
        <v>27.01733157012001</v>
      </c>
      <c r="O274" s="2">
        <f>G274-N274</f>
        <v>0</v>
      </c>
    </row>
  </sheetData>
  <mergeCells count="1">
    <mergeCell ref="A2:P3"/>
  </mergeCells>
  <conditionalFormatting sqref="G6:G274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316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5"/>
  <cols>
    <col min="1" max="1" width="14.7109375" customWidth="1"/>
    <col min="2" max="2" width="24.7109375" customWidth="1"/>
    <col min="3" max="3" width="23.7109375" customWidth="1"/>
    <col min="4" max="4" width="30.7109375" customWidth="1"/>
    <col min="5" max="8" width="23.7109375" customWidth="1"/>
    <col min="9" max="9" width="65.7109375" customWidth="1"/>
    <col min="10" max="12" width="23.7109375" customWidth="1"/>
    <col min="13" max="13" width="34.7109375" customWidth="1"/>
    <col min="14" max="15" width="27.7109375" customWidth="1"/>
    <col min="16" max="16" width="48.7109375" customWidth="1"/>
  </cols>
  <sheetData>
    <row r="1" spans="1:16">
      <c r="A1" s="3" t="s">
        <v>557</v>
      </c>
    </row>
    <row r="2" spans="1:16">
      <c r="A2" s="4" t="s">
        <v>38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5" spans="1:16">
      <c r="A5" t="s">
        <v>2</v>
      </c>
      <c r="B5" t="s">
        <v>223</v>
      </c>
      <c r="C5" t="s">
        <v>224</v>
      </c>
      <c r="D5" t="s">
        <v>225</v>
      </c>
      <c r="E5" t="s">
        <v>226</v>
      </c>
      <c r="F5" t="s">
        <v>227</v>
      </c>
      <c r="G5" t="s">
        <v>228</v>
      </c>
      <c r="H5" t="s">
        <v>229</v>
      </c>
      <c r="I5" t="s">
        <v>230</v>
      </c>
      <c r="J5" t="s">
        <v>231</v>
      </c>
      <c r="K5" t="s">
        <v>232</v>
      </c>
      <c r="L5" t="s">
        <v>233</v>
      </c>
      <c r="M5" t="s">
        <v>234</v>
      </c>
      <c r="N5" t="s">
        <v>235</v>
      </c>
      <c r="O5" t="s">
        <v>236</v>
      </c>
      <c r="P5" t="s">
        <v>237</v>
      </c>
    </row>
    <row r="6" spans="1:16">
      <c r="A6" t="s">
        <v>11</v>
      </c>
      <c r="B6" t="s">
        <v>12</v>
      </c>
      <c r="C6" t="s">
        <v>239</v>
      </c>
      <c r="D6" t="s">
        <v>240</v>
      </c>
      <c r="E6" s="1">
        <v>4</v>
      </c>
      <c r="F6" s="1">
        <v>-8.788187953393066</v>
      </c>
      <c r="G6" s="5">
        <v>-0.3515275181357226</v>
      </c>
      <c r="H6" s="1">
        <v>3.687033391904031</v>
      </c>
      <c r="I6" t="s">
        <v>241</v>
      </c>
      <c r="L6" t="s">
        <v>41</v>
      </c>
      <c r="M6" t="s">
        <v>242</v>
      </c>
      <c r="P6" t="s">
        <v>243</v>
      </c>
    </row>
    <row r="7" spans="1:16">
      <c r="A7" t="s">
        <v>11</v>
      </c>
      <c r="B7" t="s">
        <v>12</v>
      </c>
      <c r="C7" t="s">
        <v>244</v>
      </c>
      <c r="E7" s="1">
        <v>4</v>
      </c>
      <c r="F7" s="1">
        <v>5.369073358535514</v>
      </c>
      <c r="G7" s="5">
        <v>0.2147629343414205</v>
      </c>
      <c r="H7" s="1">
        <v>4.259308999895677</v>
      </c>
      <c r="I7" t="s">
        <v>241</v>
      </c>
      <c r="L7" t="s">
        <v>41</v>
      </c>
      <c r="M7" t="s">
        <v>245</v>
      </c>
      <c r="P7" t="s">
        <v>243</v>
      </c>
    </row>
    <row r="8" spans="1:16">
      <c r="A8" t="s">
        <v>11</v>
      </c>
      <c r="B8" t="s">
        <v>12</v>
      </c>
      <c r="C8" t="s">
        <v>246</v>
      </c>
      <c r="E8" s="1">
        <v>4</v>
      </c>
      <c r="F8" s="1">
        <v>10.62853220225479</v>
      </c>
      <c r="G8" s="5">
        <v>0.4251412880901917</v>
      </c>
      <c r="H8" s="1">
        <v>4.471910854250124</v>
      </c>
      <c r="I8" t="s">
        <v>241</v>
      </c>
      <c r="L8" t="s">
        <v>41</v>
      </c>
      <c r="M8" t="s">
        <v>247</v>
      </c>
      <c r="P8" t="s">
        <v>243</v>
      </c>
    </row>
    <row r="9" spans="1:16">
      <c r="A9" t="s">
        <v>11</v>
      </c>
      <c r="B9" t="s">
        <v>12</v>
      </c>
      <c r="C9" t="s">
        <v>248</v>
      </c>
      <c r="E9" s="1">
        <v>4</v>
      </c>
      <c r="F9" s="1">
        <v>-11.93643506970096</v>
      </c>
      <c r="G9" s="5">
        <v>-0.4774574027880382</v>
      </c>
      <c r="H9" s="1">
        <v>3.559772547246526</v>
      </c>
      <c r="I9" t="s">
        <v>241</v>
      </c>
      <c r="L9" t="s">
        <v>41</v>
      </c>
      <c r="M9" t="s">
        <v>249</v>
      </c>
      <c r="P9" t="s">
        <v>243</v>
      </c>
    </row>
    <row r="10" spans="1:16">
      <c r="A10" t="s">
        <v>11</v>
      </c>
      <c r="B10" t="s">
        <v>12</v>
      </c>
      <c r="C10" t="s">
        <v>250</v>
      </c>
      <c r="E10" s="1">
        <v>2</v>
      </c>
      <c r="F10" s="1">
        <v>-18.22824134972203</v>
      </c>
      <c r="G10" s="5">
        <v>-0.3645648269944405</v>
      </c>
      <c r="H10" s="1">
        <v>1.652720178962324</v>
      </c>
      <c r="I10" t="s">
        <v>241</v>
      </c>
      <c r="L10" t="s">
        <v>41</v>
      </c>
      <c r="M10" t="s">
        <v>251</v>
      </c>
      <c r="P10" t="s">
        <v>243</v>
      </c>
    </row>
    <row r="11" spans="1:16">
      <c r="A11" t="s">
        <v>11</v>
      </c>
      <c r="B11" t="s">
        <v>12</v>
      </c>
      <c r="C11" t="s">
        <v>252</v>
      </c>
      <c r="E11" s="1">
        <v>2</v>
      </c>
      <c r="F11" s="1">
        <v>20.88866997611727</v>
      </c>
      <c r="G11" s="5">
        <v>0.4177733995223455</v>
      </c>
      <c r="H11" s="1">
        <v>2.443326982019931</v>
      </c>
      <c r="I11" t="s">
        <v>241</v>
      </c>
      <c r="L11" t="s">
        <v>41</v>
      </c>
      <c r="M11" t="s">
        <v>253</v>
      </c>
      <c r="P11" t="s">
        <v>243</v>
      </c>
    </row>
    <row r="12" spans="1:16">
      <c r="A12" t="s">
        <v>11</v>
      </c>
      <c r="B12" t="s">
        <v>12</v>
      </c>
      <c r="C12" t="s">
        <v>254</v>
      </c>
      <c r="E12" s="1">
        <v>2</v>
      </c>
      <c r="F12" s="1">
        <v>-0.2776457408305011</v>
      </c>
      <c r="G12" s="5">
        <v>-0.005552914816609952</v>
      </c>
      <c r="H12" s="1">
        <v>2.015526508150974</v>
      </c>
      <c r="I12" t="s">
        <v>241</v>
      </c>
      <c r="L12" t="s">
        <v>41</v>
      </c>
      <c r="M12" t="s">
        <v>255</v>
      </c>
      <c r="P12" t="s">
        <v>243</v>
      </c>
    </row>
    <row r="13" spans="1:16">
      <c r="A13" t="s">
        <v>11</v>
      </c>
      <c r="B13" t="s">
        <v>12</v>
      </c>
      <c r="C13" t="s">
        <v>256</v>
      </c>
      <c r="E13" s="1">
        <v>2</v>
      </c>
      <c r="F13" s="1">
        <v>10.63256347146526</v>
      </c>
      <c r="G13" s="5">
        <v>0.2126512694293051</v>
      </c>
      <c r="H13" s="1">
        <v>2.236036904643474</v>
      </c>
      <c r="I13" t="s">
        <v>241</v>
      </c>
      <c r="L13" t="s">
        <v>41</v>
      </c>
      <c r="M13" t="s">
        <v>257</v>
      </c>
      <c r="P13" t="s">
        <v>243</v>
      </c>
    </row>
    <row r="14" spans="1:16">
      <c r="A14" t="s">
        <v>11</v>
      </c>
      <c r="B14" t="s">
        <v>12</v>
      </c>
      <c r="C14" t="s">
        <v>141</v>
      </c>
      <c r="E14" s="1">
        <v>10</v>
      </c>
      <c r="F14" s="1">
        <v>-65.77173990005318</v>
      </c>
      <c r="G14" s="5">
        <v>-6.577173990005318</v>
      </c>
      <c r="H14" s="1">
        <v>3.459002049833055</v>
      </c>
      <c r="I14" t="s">
        <v>241</v>
      </c>
      <c r="J14" t="s">
        <v>50</v>
      </c>
      <c r="L14" t="s">
        <v>41</v>
      </c>
      <c r="M14" t="s">
        <v>258</v>
      </c>
      <c r="P14" t="s">
        <v>243</v>
      </c>
    </row>
    <row r="15" spans="1:16">
      <c r="A15" t="s">
        <v>11</v>
      </c>
      <c r="B15" t="s">
        <v>12</v>
      </c>
      <c r="C15" t="s">
        <v>85</v>
      </c>
      <c r="E15" s="1">
        <v>2</v>
      </c>
      <c r="F15" s="1">
        <v>10.74306232185052</v>
      </c>
      <c r="G15" s="5">
        <v>0.2148612464370103</v>
      </c>
      <c r="H15" s="1">
        <v>2.238270239021971</v>
      </c>
      <c r="I15" t="s">
        <v>241</v>
      </c>
      <c r="L15" t="s">
        <v>41</v>
      </c>
      <c r="M15" t="s">
        <v>259</v>
      </c>
      <c r="P15" t="s">
        <v>243</v>
      </c>
    </row>
    <row r="16" spans="1:16">
      <c r="A16" t="s">
        <v>11</v>
      </c>
      <c r="B16" t="s">
        <v>12</v>
      </c>
      <c r="C16" t="s">
        <v>260</v>
      </c>
      <c r="E16" s="1">
        <v>2</v>
      </c>
      <c r="F16" s="1">
        <v>43.60057843067124</v>
      </c>
      <c r="G16" s="5">
        <v>0.8720115686134247</v>
      </c>
      <c r="H16" s="1">
        <v>2.902366019765498</v>
      </c>
      <c r="I16" t="s">
        <v>241</v>
      </c>
      <c r="J16" t="s">
        <v>69</v>
      </c>
      <c r="L16" t="s">
        <v>41</v>
      </c>
      <c r="M16" t="s">
        <v>261</v>
      </c>
      <c r="P16" t="s">
        <v>243</v>
      </c>
    </row>
    <row r="17" spans="1:16">
      <c r="A17" t="s">
        <v>11</v>
      </c>
      <c r="B17" t="s">
        <v>12</v>
      </c>
      <c r="C17" t="s">
        <v>262</v>
      </c>
      <c r="E17" s="1">
        <v>2</v>
      </c>
      <c r="F17" s="1">
        <v>-2.754565660269759</v>
      </c>
      <c r="G17" s="5">
        <v>-0.05509131320539512</v>
      </c>
      <c r="H17" s="1">
        <v>1.965464535654591</v>
      </c>
      <c r="I17" t="s">
        <v>241</v>
      </c>
      <c r="L17" t="s">
        <v>41</v>
      </c>
      <c r="M17" t="s">
        <v>263</v>
      </c>
      <c r="P17" t="s">
        <v>243</v>
      </c>
    </row>
    <row r="18" spans="1:16">
      <c r="A18" t="s">
        <v>11</v>
      </c>
      <c r="B18" t="s">
        <v>12</v>
      </c>
      <c r="C18" t="s">
        <v>264</v>
      </c>
      <c r="E18" s="1">
        <v>4</v>
      </c>
      <c r="F18" s="1">
        <v>11.3151922185492</v>
      </c>
      <c r="G18" s="5">
        <v>0.4526076887419677</v>
      </c>
      <c r="H18" s="1">
        <v>4.499667548828993</v>
      </c>
      <c r="I18" t="s">
        <v>241</v>
      </c>
      <c r="L18" t="s">
        <v>41</v>
      </c>
      <c r="M18" t="s">
        <v>265</v>
      </c>
      <c r="P18" t="s">
        <v>243</v>
      </c>
    </row>
    <row r="19" spans="1:16">
      <c r="A19" t="s">
        <v>11</v>
      </c>
      <c r="B19" t="s">
        <v>12</v>
      </c>
      <c r="C19" t="s">
        <v>266</v>
      </c>
      <c r="E19" s="1">
        <v>2</v>
      </c>
      <c r="F19" s="1">
        <v>-17.43405473098329</v>
      </c>
      <c r="G19" s="5">
        <v>-0.3486810946196659</v>
      </c>
      <c r="H19" s="1">
        <v>1.668771787394338</v>
      </c>
      <c r="I19" t="s">
        <v>241</v>
      </c>
      <c r="L19" t="s">
        <v>41</v>
      </c>
      <c r="M19" t="s">
        <v>267</v>
      </c>
      <c r="P19" t="s">
        <v>243</v>
      </c>
    </row>
    <row r="20" spans="1:16">
      <c r="A20" t="s">
        <v>11</v>
      </c>
      <c r="B20" t="s">
        <v>12</v>
      </c>
      <c r="C20" t="s">
        <v>268</v>
      </c>
      <c r="E20" s="1">
        <v>20</v>
      </c>
      <c r="F20" s="1">
        <v>36.01454066657732</v>
      </c>
      <c r="G20" s="5">
        <v>7.202908133315466</v>
      </c>
      <c r="H20" s="1">
        <v>27.49041719322003</v>
      </c>
      <c r="I20" t="s">
        <v>241</v>
      </c>
      <c r="J20" t="s">
        <v>79</v>
      </c>
      <c r="L20" t="s">
        <v>41</v>
      </c>
      <c r="M20" t="s">
        <v>269</v>
      </c>
      <c r="P20" t="s">
        <v>243</v>
      </c>
    </row>
    <row r="21" spans="1:16">
      <c r="A21" t="s">
        <v>11</v>
      </c>
      <c r="B21" t="s">
        <v>12</v>
      </c>
      <c r="C21" t="s">
        <v>111</v>
      </c>
      <c r="E21" s="1">
        <v>10</v>
      </c>
      <c r="F21" s="1">
        <v>-28.52304791909088</v>
      </c>
      <c r="G21" s="5">
        <v>-2.852304791909088</v>
      </c>
      <c r="H21" s="1">
        <v>7.223239599142461</v>
      </c>
      <c r="I21" t="s">
        <v>241</v>
      </c>
      <c r="J21" t="s">
        <v>45</v>
      </c>
      <c r="L21" t="s">
        <v>41</v>
      </c>
      <c r="M21" t="s">
        <v>270</v>
      </c>
      <c r="P21" t="s">
        <v>243</v>
      </c>
    </row>
    <row r="22" spans="1:16">
      <c r="A22" t="s">
        <v>11</v>
      </c>
      <c r="B22" t="s">
        <v>12</v>
      </c>
      <c r="C22" t="s">
        <v>271</v>
      </c>
      <c r="E22" s="1">
        <v>2</v>
      </c>
      <c r="F22" s="1">
        <v>9.384952568462502</v>
      </c>
      <c r="G22" s="5">
        <v>0.18769905136925</v>
      </c>
      <c r="H22" s="1">
        <v>2.210820965192977</v>
      </c>
      <c r="I22" t="s">
        <v>241</v>
      </c>
      <c r="L22" t="s">
        <v>41</v>
      </c>
      <c r="M22" t="s">
        <v>272</v>
      </c>
      <c r="P22" t="s">
        <v>243</v>
      </c>
    </row>
    <row r="23" spans="1:16">
      <c r="A23" t="s">
        <v>11</v>
      </c>
      <c r="B23" t="s">
        <v>12</v>
      </c>
      <c r="C23" t="s">
        <v>97</v>
      </c>
      <c r="E23" s="1">
        <v>10</v>
      </c>
      <c r="F23" s="1">
        <v>-19.39467553568701</v>
      </c>
      <c r="G23" s="5">
        <v>-1.939467553568701</v>
      </c>
      <c r="H23" s="1">
        <v>8.145724665389885</v>
      </c>
      <c r="I23" t="s">
        <v>241</v>
      </c>
      <c r="J23" t="s">
        <v>53</v>
      </c>
      <c r="L23" t="s">
        <v>41</v>
      </c>
      <c r="M23" t="s">
        <v>273</v>
      </c>
      <c r="P23" t="s">
        <v>243</v>
      </c>
    </row>
    <row r="24" spans="1:16">
      <c r="A24" t="s">
        <v>11</v>
      </c>
      <c r="B24" t="s">
        <v>12</v>
      </c>
      <c r="C24" t="s">
        <v>274</v>
      </c>
      <c r="D24" t="s">
        <v>275</v>
      </c>
      <c r="E24" s="1">
        <v>2</v>
      </c>
      <c r="F24" s="1">
        <v>50.56038454253673</v>
      </c>
      <c r="G24" s="5">
        <v>1.011207690850735</v>
      </c>
      <c r="H24" s="1">
        <v>3.043033313616177</v>
      </c>
      <c r="I24" t="s">
        <v>241</v>
      </c>
      <c r="J24" t="s">
        <v>71</v>
      </c>
      <c r="L24" t="s">
        <v>41</v>
      </c>
      <c r="M24" t="s">
        <v>276</v>
      </c>
      <c r="P24" t="s">
        <v>243</v>
      </c>
    </row>
    <row r="25" spans="1:16">
      <c r="A25" t="s">
        <v>11</v>
      </c>
      <c r="B25" t="s">
        <v>12</v>
      </c>
      <c r="C25" t="s">
        <v>277</v>
      </c>
      <c r="E25" s="1">
        <v>10</v>
      </c>
      <c r="F25" s="1">
        <v>7.143452012423701</v>
      </c>
      <c r="G25" s="5">
        <v>0.7143452012423696</v>
      </c>
      <c r="H25" s="1">
        <v>10.82758571586696</v>
      </c>
      <c r="I25" t="s">
        <v>241</v>
      </c>
      <c r="L25" t="s">
        <v>41</v>
      </c>
      <c r="M25" t="s">
        <v>278</v>
      </c>
      <c r="P25" t="s">
        <v>243</v>
      </c>
    </row>
    <row r="26" spans="1:16">
      <c r="A26" t="s">
        <v>11</v>
      </c>
      <c r="B26" t="s">
        <v>12</v>
      </c>
      <c r="G26" s="2">
        <v>1.642E-15</v>
      </c>
      <c r="I26" t="s">
        <v>57</v>
      </c>
      <c r="L26" t="s">
        <v>58</v>
      </c>
      <c r="M26" t="s">
        <v>279</v>
      </c>
      <c r="P26" t="s">
        <v>60</v>
      </c>
    </row>
    <row r="27" spans="1:16">
      <c r="A27" t="s">
        <v>11</v>
      </c>
      <c r="B27" t="s">
        <v>12</v>
      </c>
      <c r="C27" t="s">
        <v>61</v>
      </c>
      <c r="G27" s="6">
        <f>SUM(G6:G26)</f>
        <v>-1.0458519340894923</v>
      </c>
      <c r="I27" t="s">
        <v>64</v>
      </c>
      <c r="K27" s="1">
        <v>-0.164271062676169</v>
      </c>
      <c r="L27" t="s">
        <v>62</v>
      </c>
      <c r="M27" t="s">
        <v>280</v>
      </c>
      <c r="N27" s="1">
        <v>-1.045851934089492</v>
      </c>
      <c r="O27" s="2">
        <f>G27-N27</f>
        <v>0</v>
      </c>
    </row>
    <row r="28" spans="1:16">
      <c r="A28" t="s">
        <v>14</v>
      </c>
      <c r="B28" t="s">
        <v>15</v>
      </c>
      <c r="C28" t="s">
        <v>239</v>
      </c>
      <c r="E28" s="1">
        <v>3.687033391904031</v>
      </c>
      <c r="F28" s="1">
        <v>22.3092371509686</v>
      </c>
      <c r="G28" s="5">
        <v>0.8225490232352719</v>
      </c>
      <c r="H28" s="1">
        <v>4.414145967007508</v>
      </c>
      <c r="I28" t="s">
        <v>86</v>
      </c>
      <c r="L28" t="s">
        <v>41</v>
      </c>
      <c r="M28" t="s">
        <v>558</v>
      </c>
      <c r="P28" t="s">
        <v>559</v>
      </c>
    </row>
    <row r="29" spans="1:16">
      <c r="A29" t="s">
        <v>14</v>
      </c>
      <c r="B29" t="s">
        <v>15</v>
      </c>
      <c r="C29" t="s">
        <v>244</v>
      </c>
      <c r="E29" s="1">
        <v>4.259308999895677</v>
      </c>
      <c r="F29" s="1">
        <v>-23.75158660684021</v>
      </c>
      <c r="G29" s="5">
        <v>-1.011653465963162</v>
      </c>
      <c r="H29" s="1">
        <v>3.178925287896085</v>
      </c>
      <c r="I29" t="s">
        <v>86</v>
      </c>
      <c r="J29" t="s">
        <v>53</v>
      </c>
      <c r="L29" t="s">
        <v>41</v>
      </c>
      <c r="M29" t="s">
        <v>560</v>
      </c>
      <c r="P29" t="s">
        <v>559</v>
      </c>
    </row>
    <row r="30" spans="1:16">
      <c r="A30" t="s">
        <v>14</v>
      </c>
      <c r="B30" t="s">
        <v>15</v>
      </c>
      <c r="C30" t="s">
        <v>246</v>
      </c>
      <c r="E30" s="1">
        <v>4.471910854250124</v>
      </c>
      <c r="F30" s="1">
        <v>2.961632538622916</v>
      </c>
      <c r="G30" s="5">
        <v>0.1324415669576813</v>
      </c>
      <c r="H30" s="1">
        <v>4.506910352170128</v>
      </c>
      <c r="I30" t="s">
        <v>109</v>
      </c>
      <c r="L30" t="s">
        <v>41</v>
      </c>
      <c r="M30" t="s">
        <v>561</v>
      </c>
      <c r="P30" t="s">
        <v>559</v>
      </c>
    </row>
    <row r="31" spans="1:16">
      <c r="A31" t="s">
        <v>14</v>
      </c>
      <c r="B31" t="s">
        <v>15</v>
      </c>
      <c r="C31" t="s">
        <v>248</v>
      </c>
      <c r="E31" s="1">
        <v>3.559772547246526</v>
      </c>
      <c r="F31" s="1">
        <v>8.742248877568471</v>
      </c>
      <c r="G31" s="5">
        <v>0.3112041755556502</v>
      </c>
      <c r="H31" s="1">
        <v>3.789055108954992</v>
      </c>
      <c r="I31" t="s">
        <v>86</v>
      </c>
      <c r="L31" t="s">
        <v>41</v>
      </c>
      <c r="M31" t="s">
        <v>562</v>
      </c>
      <c r="P31" t="s">
        <v>559</v>
      </c>
    </row>
    <row r="32" spans="1:16">
      <c r="A32" t="s">
        <v>14</v>
      </c>
      <c r="B32" t="s">
        <v>15</v>
      </c>
      <c r="C32" t="s">
        <v>250</v>
      </c>
      <c r="E32" s="1">
        <v>1.652720178962324</v>
      </c>
      <c r="F32" s="1">
        <v>-33.6497806032381</v>
      </c>
      <c r="G32" s="5">
        <v>-0.5561367142062663</v>
      </c>
      <c r="H32" s="1">
        <v>1.073376431083708</v>
      </c>
      <c r="I32" t="s">
        <v>86</v>
      </c>
      <c r="L32" t="s">
        <v>41</v>
      </c>
      <c r="M32" t="s">
        <v>563</v>
      </c>
      <c r="P32" t="s">
        <v>559</v>
      </c>
    </row>
    <row r="33" spans="1:16">
      <c r="A33" t="s">
        <v>14</v>
      </c>
      <c r="B33" t="s">
        <v>15</v>
      </c>
      <c r="C33" t="s">
        <v>252</v>
      </c>
      <c r="E33" s="1">
        <v>2.443326982019931</v>
      </c>
      <c r="F33" s="1">
        <v>5.072150863766978</v>
      </c>
      <c r="G33" s="5">
        <v>0.1239292306231758</v>
      </c>
      <c r="H33" s="1">
        <v>2.512925280901754</v>
      </c>
      <c r="I33" t="s">
        <v>86</v>
      </c>
      <c r="L33" t="s">
        <v>41</v>
      </c>
      <c r="M33" t="s">
        <v>564</v>
      </c>
      <c r="P33" t="s">
        <v>559</v>
      </c>
    </row>
    <row r="34" spans="1:16">
      <c r="A34" t="s">
        <v>14</v>
      </c>
      <c r="B34" t="s">
        <v>15</v>
      </c>
      <c r="C34" t="s">
        <v>254</v>
      </c>
      <c r="E34" s="1">
        <v>2.015526508150974</v>
      </c>
      <c r="F34" s="1">
        <v>10.7732372911598</v>
      </c>
      <c r="G34" s="5">
        <v>0.2171374533893317</v>
      </c>
      <c r="H34" s="1">
        <v>2.185414017145024</v>
      </c>
      <c r="I34" t="s">
        <v>109</v>
      </c>
      <c r="L34" t="s">
        <v>41</v>
      </c>
      <c r="M34" t="s">
        <v>565</v>
      </c>
      <c r="P34" t="s">
        <v>559</v>
      </c>
    </row>
    <row r="35" spans="1:16">
      <c r="A35" t="s">
        <v>14</v>
      </c>
      <c r="B35" t="s">
        <v>15</v>
      </c>
      <c r="C35" t="s">
        <v>256</v>
      </c>
      <c r="E35" s="1">
        <v>2.236036904643473</v>
      </c>
      <c r="F35" s="1">
        <v>-12.68937856927367</v>
      </c>
      <c r="G35" s="5">
        <v>-0.2837391877788793</v>
      </c>
      <c r="H35" s="1">
        <v>1.910981172971779</v>
      </c>
      <c r="I35" t="s">
        <v>86</v>
      </c>
      <c r="L35" t="s">
        <v>41</v>
      </c>
      <c r="M35" t="s">
        <v>566</v>
      </c>
      <c r="P35" t="s">
        <v>559</v>
      </c>
    </row>
    <row r="36" spans="1:16">
      <c r="A36" t="s">
        <v>14</v>
      </c>
      <c r="B36" t="s">
        <v>15</v>
      </c>
      <c r="C36" t="s">
        <v>141</v>
      </c>
      <c r="E36" s="1">
        <v>3.459002049833056</v>
      </c>
      <c r="F36" s="1">
        <v>118.1592836638818</v>
      </c>
      <c r="G36" s="5">
        <v>4.087132044001728</v>
      </c>
      <c r="H36" s="1">
        <v>7.386434997833322</v>
      </c>
      <c r="I36" t="s">
        <v>86</v>
      </c>
      <c r="J36" t="s">
        <v>71</v>
      </c>
      <c r="L36" t="s">
        <v>41</v>
      </c>
      <c r="M36" t="s">
        <v>567</v>
      </c>
      <c r="P36" t="s">
        <v>559</v>
      </c>
    </row>
    <row r="37" spans="1:16">
      <c r="A37" t="s">
        <v>14</v>
      </c>
      <c r="B37" t="s">
        <v>15</v>
      </c>
      <c r="C37" t="s">
        <v>85</v>
      </c>
      <c r="E37" s="1">
        <v>2.238270239021971</v>
      </c>
      <c r="F37" s="1">
        <v>24.62643601164622</v>
      </c>
      <c r="G37" s="5">
        <v>0.5512061881804666</v>
      </c>
      <c r="H37" s="1">
        <v>2.730442641398715</v>
      </c>
      <c r="I37" t="s">
        <v>86</v>
      </c>
      <c r="L37" t="s">
        <v>41</v>
      </c>
      <c r="M37" t="s">
        <v>568</v>
      </c>
      <c r="P37" t="s">
        <v>559</v>
      </c>
    </row>
    <row r="38" spans="1:16">
      <c r="A38" t="s">
        <v>14</v>
      </c>
      <c r="B38" t="s">
        <v>15</v>
      </c>
      <c r="C38" t="s">
        <v>260</v>
      </c>
      <c r="E38" s="1">
        <v>2.902366019765499</v>
      </c>
      <c r="F38" s="1">
        <v>41.96250472900609</v>
      </c>
      <c r="G38" s="5">
        <v>1.217905478297163</v>
      </c>
      <c r="H38" s="1">
        <v>4.033074050291519</v>
      </c>
      <c r="I38" t="s">
        <v>86</v>
      </c>
      <c r="L38" t="s">
        <v>41</v>
      </c>
      <c r="M38" t="s">
        <v>569</v>
      </c>
      <c r="P38" t="s">
        <v>559</v>
      </c>
    </row>
    <row r="39" spans="1:16">
      <c r="A39" t="s">
        <v>14</v>
      </c>
      <c r="B39" t="s">
        <v>15</v>
      </c>
      <c r="C39" t="s">
        <v>262</v>
      </c>
      <c r="D39" t="s">
        <v>292</v>
      </c>
      <c r="E39" s="1">
        <v>1.965464535654592</v>
      </c>
      <c r="F39" s="1">
        <v>-4.644659668661966</v>
      </c>
      <c r="G39" s="5">
        <v>-0.091289138589403</v>
      </c>
      <c r="H39" s="1">
        <v>1.834512158519769</v>
      </c>
      <c r="I39" t="s">
        <v>293</v>
      </c>
      <c r="L39" t="s">
        <v>41</v>
      </c>
      <c r="M39" t="s">
        <v>570</v>
      </c>
      <c r="P39" t="s">
        <v>559</v>
      </c>
    </row>
    <row r="40" spans="1:16">
      <c r="A40" t="s">
        <v>14</v>
      </c>
      <c r="B40" t="s">
        <v>15</v>
      </c>
      <c r="C40" t="s">
        <v>264</v>
      </c>
      <c r="E40" s="1">
        <v>4.499667548828993</v>
      </c>
      <c r="F40" s="1">
        <v>2.706717352847976</v>
      </c>
      <c r="G40" s="5">
        <v>0.1217932823646232</v>
      </c>
      <c r="H40" s="1">
        <v>4.523656696285549</v>
      </c>
      <c r="I40" t="s">
        <v>109</v>
      </c>
      <c r="L40" t="s">
        <v>41</v>
      </c>
      <c r="M40" t="s">
        <v>571</v>
      </c>
      <c r="P40" t="s">
        <v>559</v>
      </c>
    </row>
    <row r="41" spans="1:16">
      <c r="A41" t="s">
        <v>14</v>
      </c>
      <c r="B41" t="s">
        <v>15</v>
      </c>
      <c r="C41" t="s">
        <v>266</v>
      </c>
      <c r="E41" s="1">
        <v>1.668771787394338</v>
      </c>
      <c r="F41" s="1">
        <v>-33.43177790903721</v>
      </c>
      <c r="G41" s="5">
        <v>-0.5579000777703456</v>
      </c>
      <c r="H41" s="1">
        <v>1.087362293332875</v>
      </c>
      <c r="I41" t="s">
        <v>296</v>
      </c>
      <c r="L41" t="s">
        <v>41</v>
      </c>
      <c r="M41" t="s">
        <v>572</v>
      </c>
      <c r="P41" t="s">
        <v>559</v>
      </c>
    </row>
    <row r="42" spans="1:16">
      <c r="A42" t="s">
        <v>14</v>
      </c>
      <c r="B42" t="s">
        <v>15</v>
      </c>
      <c r="C42" t="s">
        <v>268</v>
      </c>
      <c r="E42" s="1">
        <v>27.49041719322003</v>
      </c>
      <c r="F42" s="1">
        <v>-32.81971565683103</v>
      </c>
      <c r="G42" s="5">
        <v>-9.022276755691403</v>
      </c>
      <c r="H42" s="1">
        <v>18.0772985447095</v>
      </c>
      <c r="I42" t="s">
        <v>86</v>
      </c>
      <c r="J42" t="s">
        <v>50</v>
      </c>
      <c r="L42" t="s">
        <v>41</v>
      </c>
      <c r="M42" t="s">
        <v>573</v>
      </c>
      <c r="P42" t="s">
        <v>559</v>
      </c>
    </row>
    <row r="43" spans="1:16">
      <c r="A43" t="s">
        <v>14</v>
      </c>
      <c r="B43" t="s">
        <v>15</v>
      </c>
      <c r="C43" t="s">
        <v>111</v>
      </c>
      <c r="E43" s="1">
        <v>7.223239599142461</v>
      </c>
      <c r="F43" s="1">
        <v>77.93983151674848</v>
      </c>
      <c r="G43" s="5">
        <v>5.629780773622693</v>
      </c>
      <c r="H43" s="1">
        <v>12.58101145947326</v>
      </c>
      <c r="I43" t="s">
        <v>86</v>
      </c>
      <c r="J43" t="s">
        <v>79</v>
      </c>
      <c r="L43" t="s">
        <v>41</v>
      </c>
      <c r="M43" t="s">
        <v>574</v>
      </c>
      <c r="P43" t="s">
        <v>559</v>
      </c>
    </row>
    <row r="44" spans="1:16">
      <c r="A44" t="s">
        <v>14</v>
      </c>
      <c r="B44" t="s">
        <v>15</v>
      </c>
      <c r="C44" t="s">
        <v>271</v>
      </c>
      <c r="E44" s="1">
        <v>2.210820965192977</v>
      </c>
      <c r="F44" s="1">
        <v>16.19857159359557</v>
      </c>
      <c r="G44" s="5">
        <v>0.358121416853005</v>
      </c>
      <c r="H44" s="1">
        <v>2.51457576584342</v>
      </c>
      <c r="I44" t="s">
        <v>86</v>
      </c>
      <c r="L44" t="s">
        <v>41</v>
      </c>
      <c r="M44" t="s">
        <v>575</v>
      </c>
      <c r="P44" t="s">
        <v>559</v>
      </c>
    </row>
    <row r="45" spans="1:16">
      <c r="A45" t="s">
        <v>14</v>
      </c>
      <c r="B45" t="s">
        <v>15</v>
      </c>
      <c r="C45" t="s">
        <v>97</v>
      </c>
      <c r="E45" s="1">
        <v>8.145724665389885</v>
      </c>
      <c r="F45" s="1">
        <v>-31.50156250000001</v>
      </c>
      <c r="G45" s="5">
        <v>-2.566030546545711</v>
      </c>
      <c r="H45" s="1">
        <v>5.461610859831842</v>
      </c>
      <c r="I45" t="s">
        <v>86</v>
      </c>
      <c r="J45" t="s">
        <v>45</v>
      </c>
      <c r="L45" t="s">
        <v>41</v>
      </c>
      <c r="M45" t="s">
        <v>576</v>
      </c>
      <c r="P45" t="s">
        <v>559</v>
      </c>
    </row>
    <row r="46" spans="1:16">
      <c r="A46" t="s">
        <v>14</v>
      </c>
      <c r="B46" t="s">
        <v>15</v>
      </c>
      <c r="C46" t="s">
        <v>274</v>
      </c>
      <c r="E46" s="1">
        <v>3.043033313616177</v>
      </c>
      <c r="F46" s="1">
        <v>66.4807504353594</v>
      </c>
      <c r="G46" s="5">
        <v>2.023031382890018</v>
      </c>
      <c r="H46" s="1">
        <v>4.958851394667582</v>
      </c>
      <c r="I46" t="s">
        <v>86</v>
      </c>
      <c r="J46" t="s">
        <v>69</v>
      </c>
      <c r="L46" t="s">
        <v>41</v>
      </c>
      <c r="M46" t="s">
        <v>577</v>
      </c>
      <c r="P46" t="s">
        <v>559</v>
      </c>
    </row>
    <row r="47" spans="1:16">
      <c r="A47" t="s">
        <v>14</v>
      </c>
      <c r="B47" t="s">
        <v>15</v>
      </c>
      <c r="C47" t="s">
        <v>277</v>
      </c>
      <c r="E47" s="1">
        <v>10.82758571586696</v>
      </c>
      <c r="F47" s="1">
        <v>6.048006162388164</v>
      </c>
      <c r="G47" s="5">
        <v>0.6548530513334948</v>
      </c>
      <c r="H47" s="1">
        <v>11.23943551968168</v>
      </c>
      <c r="I47" t="s">
        <v>86</v>
      </c>
      <c r="L47" t="s">
        <v>41</v>
      </c>
      <c r="M47" t="s">
        <v>578</v>
      </c>
      <c r="P47" t="s">
        <v>559</v>
      </c>
    </row>
    <row r="48" spans="1:16">
      <c r="A48" t="s">
        <v>14</v>
      </c>
      <c r="B48" t="s">
        <v>15</v>
      </c>
      <c r="G48" s="2">
        <v>2.95E-15</v>
      </c>
      <c r="I48" t="s">
        <v>57</v>
      </c>
      <c r="L48" t="s">
        <v>58</v>
      </c>
      <c r="M48" t="s">
        <v>579</v>
      </c>
      <c r="P48" t="s">
        <v>60</v>
      </c>
    </row>
    <row r="49" spans="1:16">
      <c r="A49" t="s">
        <v>14</v>
      </c>
      <c r="B49" t="s">
        <v>15</v>
      </c>
      <c r="C49" t="s">
        <v>61</v>
      </c>
      <c r="G49" s="6">
        <f>SUM(G28:G48)</f>
        <v>2.162059180759135</v>
      </c>
      <c r="I49" t="s">
        <v>64</v>
      </c>
      <c r="K49" s="1">
        <v>-2.927532474970274</v>
      </c>
      <c r="L49" t="s">
        <v>62</v>
      </c>
      <c r="M49" t="s">
        <v>580</v>
      </c>
      <c r="N49" s="1">
        <v>2.162059180759135</v>
      </c>
      <c r="O49" s="2">
        <f>G49-N49</f>
        <v>0</v>
      </c>
    </row>
    <row r="50" spans="1:16">
      <c r="A50" t="s">
        <v>16</v>
      </c>
      <c r="B50" t="s">
        <v>17</v>
      </c>
      <c r="C50" t="s">
        <v>239</v>
      </c>
      <c r="E50" s="1">
        <v>4.414145967007508</v>
      </c>
      <c r="F50" s="1">
        <v>39.55241867953981</v>
      </c>
      <c r="G50" s="5">
        <v>1.74590149399683</v>
      </c>
      <c r="H50" s="1">
        <v>4.99679742958938</v>
      </c>
      <c r="I50" t="s">
        <v>86</v>
      </c>
      <c r="L50" t="s">
        <v>41</v>
      </c>
      <c r="M50" t="s">
        <v>581</v>
      </c>
      <c r="P50" t="s">
        <v>559</v>
      </c>
    </row>
    <row r="51" spans="1:16">
      <c r="A51" t="s">
        <v>16</v>
      </c>
      <c r="B51" t="s">
        <v>17</v>
      </c>
      <c r="C51" t="s">
        <v>244</v>
      </c>
      <c r="E51" s="1">
        <v>3.178925287896085</v>
      </c>
      <c r="F51" s="1">
        <v>60.94049307894902</v>
      </c>
      <c r="G51" s="5">
        <v>1.937252745055273</v>
      </c>
      <c r="H51" s="1">
        <v>4.150050045264577</v>
      </c>
      <c r="I51" t="s">
        <v>86</v>
      </c>
      <c r="L51" t="s">
        <v>41</v>
      </c>
      <c r="M51" t="s">
        <v>582</v>
      </c>
      <c r="P51" t="s">
        <v>559</v>
      </c>
    </row>
    <row r="52" spans="1:16">
      <c r="A52" t="s">
        <v>16</v>
      </c>
      <c r="B52" t="s">
        <v>17</v>
      </c>
      <c r="C52" t="s">
        <v>246</v>
      </c>
      <c r="E52" s="1">
        <v>4.506910352170128</v>
      </c>
      <c r="F52" s="1">
        <v>27.86852354038498</v>
      </c>
      <c r="G52" s="5">
        <v>1.25600937243858</v>
      </c>
      <c r="H52" s="1">
        <v>4.674662435500097</v>
      </c>
      <c r="I52" t="s">
        <v>109</v>
      </c>
      <c r="L52" t="s">
        <v>41</v>
      </c>
      <c r="M52" t="s">
        <v>583</v>
      </c>
      <c r="P52" t="s">
        <v>559</v>
      </c>
    </row>
    <row r="53" spans="1:16">
      <c r="A53" t="s">
        <v>16</v>
      </c>
      <c r="B53" t="s">
        <v>17</v>
      </c>
      <c r="C53" t="s">
        <v>248</v>
      </c>
      <c r="E53" s="1">
        <v>3.789055108954992</v>
      </c>
      <c r="F53" s="1">
        <v>61.46109333407408</v>
      </c>
      <c r="G53" s="5">
        <v>2.32879469699433</v>
      </c>
      <c r="H53" s="1">
        <v>4.962568288393896</v>
      </c>
      <c r="I53" t="s">
        <v>86</v>
      </c>
      <c r="L53" t="s">
        <v>41</v>
      </c>
      <c r="M53" t="s">
        <v>584</v>
      </c>
      <c r="P53" t="s">
        <v>559</v>
      </c>
    </row>
    <row r="54" spans="1:16">
      <c r="A54" t="s">
        <v>16</v>
      </c>
      <c r="B54" t="s">
        <v>17</v>
      </c>
      <c r="C54" t="s">
        <v>250</v>
      </c>
      <c r="E54" s="1">
        <v>1.073376431083708</v>
      </c>
      <c r="F54" s="1">
        <v>18.69247230514528</v>
      </c>
      <c r="G54" s="5">
        <v>0.2006405921102789</v>
      </c>
      <c r="H54" s="1">
        <v>1.03343440566786</v>
      </c>
      <c r="I54" t="s">
        <v>86</v>
      </c>
      <c r="L54" t="s">
        <v>41</v>
      </c>
      <c r="M54" t="s">
        <v>585</v>
      </c>
      <c r="P54" t="s">
        <v>559</v>
      </c>
    </row>
    <row r="55" spans="1:16">
      <c r="A55" t="s">
        <v>16</v>
      </c>
      <c r="B55" t="s">
        <v>17</v>
      </c>
      <c r="C55" t="s">
        <v>252</v>
      </c>
      <c r="E55" s="1">
        <v>2.512925280901754</v>
      </c>
      <c r="F55" s="1">
        <v>13.17947448413654</v>
      </c>
      <c r="G55" s="5">
        <v>0.331190346201863</v>
      </c>
      <c r="H55" s="1">
        <v>2.307038987106975</v>
      </c>
      <c r="I55" t="s">
        <v>86</v>
      </c>
      <c r="L55" t="s">
        <v>41</v>
      </c>
      <c r="M55" t="s">
        <v>586</v>
      </c>
      <c r="P55" t="s">
        <v>559</v>
      </c>
    </row>
    <row r="56" spans="1:16">
      <c r="A56" t="s">
        <v>16</v>
      </c>
      <c r="B56" t="s">
        <v>17</v>
      </c>
      <c r="C56" t="s">
        <v>254</v>
      </c>
      <c r="E56" s="1">
        <v>2.185414017145024</v>
      </c>
      <c r="F56" s="1">
        <v>29.86588139604272</v>
      </c>
      <c r="G56" s="5">
        <v>0.6526931583730258</v>
      </c>
      <c r="H56" s="1">
        <v>2.302165158515778</v>
      </c>
      <c r="I56" t="s">
        <v>86</v>
      </c>
      <c r="L56" t="s">
        <v>41</v>
      </c>
      <c r="M56" t="s">
        <v>587</v>
      </c>
      <c r="P56" t="s">
        <v>559</v>
      </c>
    </row>
    <row r="57" spans="1:16">
      <c r="A57" t="s">
        <v>16</v>
      </c>
      <c r="B57" t="s">
        <v>17</v>
      </c>
      <c r="C57" t="s">
        <v>256</v>
      </c>
      <c r="E57" s="1">
        <v>1.910981172971779</v>
      </c>
      <c r="F57" s="1">
        <v>-10.26523019305732</v>
      </c>
      <c r="G57" s="5">
        <v>-0.1961666163515399</v>
      </c>
      <c r="H57" s="1">
        <v>1.390992686823461</v>
      </c>
      <c r="I57" t="s">
        <v>86</v>
      </c>
      <c r="J57" t="s">
        <v>50</v>
      </c>
      <c r="L57" t="s">
        <v>41</v>
      </c>
      <c r="M57" t="s">
        <v>588</v>
      </c>
      <c r="P57" t="s">
        <v>559</v>
      </c>
    </row>
    <row r="58" spans="1:16">
      <c r="A58" t="s">
        <v>16</v>
      </c>
      <c r="B58" t="s">
        <v>17</v>
      </c>
      <c r="C58" t="s">
        <v>141</v>
      </c>
      <c r="E58" s="1">
        <v>7.386434997833323</v>
      </c>
      <c r="F58" s="1">
        <v>39.90224947256409</v>
      </c>
      <c r="G58" s="5">
        <v>2.947353719964236</v>
      </c>
      <c r="H58" s="1">
        <v>8.38237841995325</v>
      </c>
      <c r="I58" t="s">
        <v>86</v>
      </c>
      <c r="J58" t="s">
        <v>71</v>
      </c>
      <c r="L58" t="s">
        <v>41</v>
      </c>
      <c r="M58" t="s">
        <v>589</v>
      </c>
      <c r="P58" t="s">
        <v>559</v>
      </c>
    </row>
    <row r="59" spans="1:16">
      <c r="A59" t="s">
        <v>16</v>
      </c>
      <c r="B59" t="s">
        <v>17</v>
      </c>
      <c r="C59" t="s">
        <v>85</v>
      </c>
      <c r="E59" s="1">
        <v>2.730442641398715</v>
      </c>
      <c r="F59" s="1">
        <v>8.418283780163073</v>
      </c>
      <c r="G59" s="5">
        <v>0.2298564100075243</v>
      </c>
      <c r="H59" s="1">
        <v>2.401282584999901</v>
      </c>
      <c r="I59" t="s">
        <v>86</v>
      </c>
      <c r="L59" t="s">
        <v>41</v>
      </c>
      <c r="M59" t="s">
        <v>590</v>
      </c>
      <c r="P59" t="s">
        <v>559</v>
      </c>
    </row>
    <row r="60" spans="1:16">
      <c r="A60" t="s">
        <v>16</v>
      </c>
      <c r="B60" t="s">
        <v>17</v>
      </c>
      <c r="C60" t="s">
        <v>260</v>
      </c>
      <c r="E60" s="1">
        <v>4.033074050291519</v>
      </c>
      <c r="F60" s="1">
        <v>13.13701690490665</v>
      </c>
      <c r="G60" s="5">
        <v>0.5298256197742</v>
      </c>
      <c r="H60" s="1">
        <v>3.701251571061972</v>
      </c>
      <c r="I60" t="s">
        <v>86</v>
      </c>
      <c r="L60" t="s">
        <v>41</v>
      </c>
      <c r="M60" t="s">
        <v>591</v>
      </c>
      <c r="P60" t="s">
        <v>559</v>
      </c>
    </row>
    <row r="61" spans="1:16">
      <c r="A61" t="s">
        <v>16</v>
      </c>
      <c r="B61" t="s">
        <v>17</v>
      </c>
      <c r="C61" t="s">
        <v>264</v>
      </c>
      <c r="E61" s="1">
        <v>4.523656696285549</v>
      </c>
      <c r="F61" s="1">
        <v>40.13875527179592</v>
      </c>
      <c r="G61" s="5">
        <v>1.815739490658265</v>
      </c>
      <c r="H61" s="1">
        <v>5.142278330255751</v>
      </c>
      <c r="I61" t="s">
        <v>109</v>
      </c>
      <c r="L61" t="s">
        <v>41</v>
      </c>
      <c r="M61" t="s">
        <v>592</v>
      </c>
      <c r="P61" t="s">
        <v>559</v>
      </c>
    </row>
    <row r="62" spans="1:16">
      <c r="A62" t="s">
        <v>16</v>
      </c>
      <c r="B62" t="s">
        <v>17</v>
      </c>
      <c r="C62" t="s">
        <v>266</v>
      </c>
      <c r="E62" s="1">
        <v>1.087362293332875</v>
      </c>
      <c r="F62" s="1">
        <v>98.84649511978706</v>
      </c>
      <c r="G62" s="5">
        <v>1.074819516213686</v>
      </c>
      <c r="H62" s="1">
        <v>1.753880075866442</v>
      </c>
      <c r="I62" t="s">
        <v>296</v>
      </c>
      <c r="L62" t="s">
        <v>41</v>
      </c>
      <c r="M62" t="s">
        <v>593</v>
      </c>
      <c r="P62" t="s">
        <v>559</v>
      </c>
    </row>
    <row r="63" spans="1:16">
      <c r="A63" t="s">
        <v>16</v>
      </c>
      <c r="B63" t="s">
        <v>17</v>
      </c>
      <c r="C63" t="s">
        <v>268</v>
      </c>
      <c r="E63" s="1">
        <v>18.0772985447095</v>
      </c>
      <c r="F63" s="1">
        <v>18.98252031074923</v>
      </c>
      <c r="G63" s="5">
        <v>3.431526867884253</v>
      </c>
      <c r="H63" s="1">
        <v>17.44714536949564</v>
      </c>
      <c r="I63" t="s">
        <v>86</v>
      </c>
      <c r="J63" t="s">
        <v>79</v>
      </c>
      <c r="L63" t="s">
        <v>41</v>
      </c>
      <c r="M63" t="s">
        <v>594</v>
      </c>
      <c r="P63" t="s">
        <v>559</v>
      </c>
    </row>
    <row r="64" spans="1:16">
      <c r="A64" t="s">
        <v>16</v>
      </c>
      <c r="B64" t="s">
        <v>17</v>
      </c>
      <c r="C64" t="s">
        <v>111</v>
      </c>
      <c r="E64" s="1">
        <v>12.58101145947325</v>
      </c>
      <c r="F64" s="1">
        <v>12.93303920858868</v>
      </c>
      <c r="G64" s="5">
        <v>1.627107144890711</v>
      </c>
      <c r="H64" s="1">
        <v>11.5250882352799</v>
      </c>
      <c r="I64" t="s">
        <v>86</v>
      </c>
      <c r="L64" t="s">
        <v>41</v>
      </c>
      <c r="M64" t="s">
        <v>595</v>
      </c>
      <c r="P64" t="s">
        <v>559</v>
      </c>
    </row>
    <row r="65" spans="1:16">
      <c r="A65" t="s">
        <v>16</v>
      </c>
      <c r="B65" t="s">
        <v>17</v>
      </c>
      <c r="C65" t="s">
        <v>271</v>
      </c>
      <c r="E65" s="1">
        <v>2.51457576584342</v>
      </c>
      <c r="F65" s="1">
        <v>-5.89830987587302</v>
      </c>
      <c r="G65" s="5">
        <v>-0.1483174707330521</v>
      </c>
      <c r="H65" s="1">
        <v>1.919419199543682</v>
      </c>
      <c r="I65" t="s">
        <v>86</v>
      </c>
      <c r="J65" t="s">
        <v>45</v>
      </c>
      <c r="L65" t="s">
        <v>41</v>
      </c>
      <c r="M65" t="s">
        <v>596</v>
      </c>
      <c r="P65" t="s">
        <v>559</v>
      </c>
    </row>
    <row r="66" spans="1:16">
      <c r="A66" t="s">
        <v>16</v>
      </c>
      <c r="B66" t="s">
        <v>17</v>
      </c>
      <c r="C66" t="s">
        <v>292</v>
      </c>
      <c r="E66" s="1">
        <v>1.834512158519769</v>
      </c>
      <c r="F66" s="1">
        <v>-0.3798798938927317</v>
      </c>
      <c r="G66" s="5">
        <v>-0.006968942841234249</v>
      </c>
      <c r="H66" s="1">
        <v>1.482433909864251</v>
      </c>
      <c r="I66" t="s">
        <v>86</v>
      </c>
      <c r="J66" t="s">
        <v>53</v>
      </c>
      <c r="L66" t="s">
        <v>41</v>
      </c>
      <c r="M66" t="s">
        <v>597</v>
      </c>
      <c r="P66" t="s">
        <v>559</v>
      </c>
    </row>
    <row r="67" spans="1:16">
      <c r="A67" t="s">
        <v>16</v>
      </c>
      <c r="B67" t="s">
        <v>17</v>
      </c>
      <c r="C67" t="s">
        <v>97</v>
      </c>
      <c r="E67" s="1">
        <v>5.461610859831842</v>
      </c>
      <c r="F67" s="1">
        <v>43.96962142197598</v>
      </c>
      <c r="G67" s="5">
        <v>2.401449618609588</v>
      </c>
      <c r="H67" s="1">
        <v>6.378217154349016</v>
      </c>
      <c r="I67" t="s">
        <v>86</v>
      </c>
      <c r="J67" t="s">
        <v>69</v>
      </c>
      <c r="L67" t="s">
        <v>41</v>
      </c>
      <c r="M67" t="s">
        <v>598</v>
      </c>
      <c r="P67" t="s">
        <v>559</v>
      </c>
    </row>
    <row r="68" spans="1:16">
      <c r="A68" t="s">
        <v>16</v>
      </c>
      <c r="B68" t="s">
        <v>17</v>
      </c>
      <c r="C68" t="s">
        <v>274</v>
      </c>
      <c r="E68" s="1">
        <v>4.958851394667582</v>
      </c>
      <c r="F68" s="1">
        <v>5.946145719436324</v>
      </c>
      <c r="G68" s="5">
        <v>0.2948605299372352</v>
      </c>
      <c r="H68" s="1">
        <v>4.261612334458918</v>
      </c>
      <c r="I68" t="s">
        <v>86</v>
      </c>
      <c r="L68" t="s">
        <v>41</v>
      </c>
      <c r="M68" t="s">
        <v>599</v>
      </c>
      <c r="P68" t="s">
        <v>559</v>
      </c>
    </row>
    <row r="69" spans="1:16">
      <c r="A69" t="s">
        <v>16</v>
      </c>
      <c r="B69" t="s">
        <v>17</v>
      </c>
      <c r="C69" t="s">
        <v>277</v>
      </c>
      <c r="E69" s="1">
        <v>11.23943551968168</v>
      </c>
      <c r="F69" s="1">
        <v>7.352179252844926</v>
      </c>
      <c r="G69" s="5">
        <v>0.8263434464149186</v>
      </c>
      <c r="H69" s="1">
        <v>9.787303378009252</v>
      </c>
      <c r="I69" t="s">
        <v>86</v>
      </c>
      <c r="L69" t="s">
        <v>41</v>
      </c>
      <c r="M69" t="s">
        <v>600</v>
      </c>
      <c r="P69" t="s">
        <v>559</v>
      </c>
    </row>
    <row r="70" spans="1:16">
      <c r="A70" t="s">
        <v>16</v>
      </c>
      <c r="B70" t="s">
        <v>17</v>
      </c>
      <c r="G70" s="2">
        <v>7.089E-15</v>
      </c>
      <c r="I70" t="s">
        <v>57</v>
      </c>
      <c r="L70" t="s">
        <v>58</v>
      </c>
      <c r="M70" t="s">
        <v>601</v>
      </c>
      <c r="P70" t="s">
        <v>60</v>
      </c>
    </row>
    <row r="71" spans="1:16">
      <c r="A71" t="s">
        <v>16</v>
      </c>
      <c r="B71" t="s">
        <v>17</v>
      </c>
      <c r="C71" t="s">
        <v>61</v>
      </c>
      <c r="G71" s="6">
        <f>SUM(G50:G70)</f>
        <v>23.27991173959898</v>
      </c>
      <c r="I71" t="s">
        <v>64</v>
      </c>
      <c r="K71" s="1">
        <v>22.07205476283078</v>
      </c>
      <c r="L71" t="s">
        <v>62</v>
      </c>
      <c r="M71" t="s">
        <v>602</v>
      </c>
      <c r="N71" s="1">
        <v>23.27991173959898</v>
      </c>
      <c r="O71" s="2">
        <f>G71-N71</f>
        <v>0</v>
      </c>
    </row>
    <row r="72" spans="1:16">
      <c r="A72" t="s">
        <v>18</v>
      </c>
      <c r="B72" t="s">
        <v>19</v>
      </c>
      <c r="C72" t="s">
        <v>239</v>
      </c>
      <c r="E72" s="1">
        <v>4.497117686630443</v>
      </c>
      <c r="F72" s="1">
        <v>-4.176619987792551</v>
      </c>
      <c r="G72" s="5">
        <v>-0.1878275161743608</v>
      </c>
      <c r="H72" s="1">
        <v>3.967619108888747</v>
      </c>
      <c r="I72" t="s">
        <v>86</v>
      </c>
      <c r="L72" t="s">
        <v>41</v>
      </c>
      <c r="M72" t="s">
        <v>603</v>
      </c>
      <c r="P72" t="s">
        <v>559</v>
      </c>
    </row>
    <row r="73" spans="1:16">
      <c r="A73" t="s">
        <v>18</v>
      </c>
      <c r="B73" t="s">
        <v>19</v>
      </c>
      <c r="C73" t="s">
        <v>244</v>
      </c>
      <c r="E73" s="1">
        <v>3.73504504073812</v>
      </c>
      <c r="F73" s="1">
        <v>10.73606566600602</v>
      </c>
      <c r="G73" s="5">
        <v>0.4009968882285461</v>
      </c>
      <c r="H73" s="1">
        <v>3.808107215670838</v>
      </c>
      <c r="I73" t="s">
        <v>86</v>
      </c>
      <c r="L73" t="s">
        <v>41</v>
      </c>
      <c r="M73" t="s">
        <v>604</v>
      </c>
      <c r="P73" t="s">
        <v>559</v>
      </c>
    </row>
    <row r="74" spans="1:16">
      <c r="A74" t="s">
        <v>18</v>
      </c>
      <c r="B74" t="s">
        <v>19</v>
      </c>
      <c r="C74" t="s">
        <v>246</v>
      </c>
      <c r="E74" s="1">
        <v>4.207196191950088</v>
      </c>
      <c r="F74" s="1">
        <v>9.083292096946805</v>
      </c>
      <c r="G74" s="5">
        <v>0.3821519192064493</v>
      </c>
      <c r="H74" s="1">
        <v>4.225472071480393</v>
      </c>
      <c r="I74" t="s">
        <v>109</v>
      </c>
      <c r="L74" t="s">
        <v>41</v>
      </c>
      <c r="M74" t="s">
        <v>605</v>
      </c>
      <c r="P74" t="s">
        <v>559</v>
      </c>
    </row>
    <row r="75" spans="1:16">
      <c r="A75" t="s">
        <v>18</v>
      </c>
      <c r="B75" t="s">
        <v>19</v>
      </c>
      <c r="C75" t="s">
        <v>248</v>
      </c>
      <c r="E75" s="1">
        <v>4.466311459554507</v>
      </c>
      <c r="F75" s="1">
        <v>19.74990377631007</v>
      </c>
      <c r="G75" s="5">
        <v>0.8820922156123254</v>
      </c>
      <c r="H75" s="1">
        <v>4.924344331492725</v>
      </c>
      <c r="I75" t="s">
        <v>86</v>
      </c>
      <c r="L75" t="s">
        <v>41</v>
      </c>
      <c r="M75" t="s">
        <v>606</v>
      </c>
      <c r="P75" t="s">
        <v>559</v>
      </c>
    </row>
    <row r="76" spans="1:16">
      <c r="A76" t="s">
        <v>18</v>
      </c>
      <c r="B76" t="s">
        <v>19</v>
      </c>
      <c r="C76" t="s">
        <v>250</v>
      </c>
      <c r="D76" t="s">
        <v>329</v>
      </c>
      <c r="E76" s="1">
        <v>0.9300909651010739</v>
      </c>
      <c r="F76" s="1">
        <v>-1.435389653134234</v>
      </c>
      <c r="G76" s="5">
        <v>-0.01335042947779711</v>
      </c>
      <c r="H76" s="1">
        <v>0.8440548496753609</v>
      </c>
      <c r="I76" t="s">
        <v>330</v>
      </c>
      <c r="L76" t="s">
        <v>41</v>
      </c>
      <c r="M76" t="s">
        <v>607</v>
      </c>
      <c r="P76" t="s">
        <v>559</v>
      </c>
    </row>
    <row r="77" spans="1:16">
      <c r="A77" t="s">
        <v>18</v>
      </c>
      <c r="B77" t="s">
        <v>19</v>
      </c>
      <c r="C77" t="s">
        <v>252</v>
      </c>
      <c r="E77" s="1">
        <v>2.076335088396277</v>
      </c>
      <c r="F77" s="1">
        <v>3.530709610070337</v>
      </c>
      <c r="G77" s="5">
        <v>0.07330936250327001</v>
      </c>
      <c r="H77" s="1">
        <v>1.979205405841358</v>
      </c>
      <c r="I77" t="s">
        <v>86</v>
      </c>
      <c r="L77" t="s">
        <v>41</v>
      </c>
      <c r="M77" t="s">
        <v>608</v>
      </c>
      <c r="P77" t="s">
        <v>559</v>
      </c>
    </row>
    <row r="78" spans="1:16">
      <c r="A78" t="s">
        <v>18</v>
      </c>
      <c r="B78" t="s">
        <v>19</v>
      </c>
      <c r="C78" t="s">
        <v>254</v>
      </c>
      <c r="E78" s="1">
        <v>2.0719486426642</v>
      </c>
      <c r="F78" s="1">
        <v>-17.32710569593416</v>
      </c>
      <c r="G78" s="5">
        <v>-0.3590087312798993</v>
      </c>
      <c r="H78" s="1">
        <v>1.57712589683123</v>
      </c>
      <c r="I78" t="s">
        <v>86</v>
      </c>
      <c r="L78" t="s">
        <v>41</v>
      </c>
      <c r="M78" t="s">
        <v>609</v>
      </c>
      <c r="P78" t="s">
        <v>559</v>
      </c>
    </row>
    <row r="79" spans="1:16">
      <c r="A79" t="s">
        <v>18</v>
      </c>
      <c r="B79" t="s">
        <v>19</v>
      </c>
      <c r="C79" t="s">
        <v>256</v>
      </c>
      <c r="E79" s="1">
        <v>1.251893418141115</v>
      </c>
      <c r="F79" s="1">
        <v>-6.473019468120178</v>
      </c>
      <c r="G79" s="5">
        <v>-0.08103530467638957</v>
      </c>
      <c r="H79" s="1">
        <v>1.078024185196238</v>
      </c>
      <c r="I79" t="s">
        <v>86</v>
      </c>
      <c r="L79" t="s">
        <v>41</v>
      </c>
      <c r="M79" t="s">
        <v>610</v>
      </c>
      <c r="P79" t="s">
        <v>559</v>
      </c>
    </row>
    <row r="80" spans="1:16">
      <c r="A80" t="s">
        <v>18</v>
      </c>
      <c r="B80" t="s">
        <v>19</v>
      </c>
      <c r="C80" t="s">
        <v>141</v>
      </c>
      <c r="E80" s="1">
        <v>7.544140577957926</v>
      </c>
      <c r="F80" s="1">
        <v>13.97242449637686</v>
      </c>
      <c r="G80" s="5">
        <v>1.0540993461557</v>
      </c>
      <c r="H80" s="1">
        <v>7.916510533360714</v>
      </c>
      <c r="I80" t="s">
        <v>86</v>
      </c>
      <c r="J80" t="s">
        <v>69</v>
      </c>
      <c r="L80" t="s">
        <v>41</v>
      </c>
      <c r="M80" t="s">
        <v>611</v>
      </c>
      <c r="P80" t="s">
        <v>559</v>
      </c>
    </row>
    <row r="81" spans="1:16">
      <c r="A81" t="s">
        <v>18</v>
      </c>
      <c r="B81" t="s">
        <v>19</v>
      </c>
      <c r="C81" t="s">
        <v>85</v>
      </c>
      <c r="E81" s="1">
        <v>2.161154326499911</v>
      </c>
      <c r="F81" s="1">
        <v>2.092376803754958</v>
      </c>
      <c r="G81" s="5">
        <v>0.04521949182103088</v>
      </c>
      <c r="H81" s="1">
        <v>2.031436867013181</v>
      </c>
      <c r="I81" t="s">
        <v>86</v>
      </c>
      <c r="L81" t="s">
        <v>41</v>
      </c>
      <c r="M81" t="s">
        <v>612</v>
      </c>
      <c r="P81" t="s">
        <v>559</v>
      </c>
    </row>
    <row r="82" spans="1:16">
      <c r="A82" t="s">
        <v>18</v>
      </c>
      <c r="B82" t="s">
        <v>19</v>
      </c>
      <c r="C82" t="s">
        <v>260</v>
      </c>
      <c r="E82" s="1">
        <v>3.331126413955775</v>
      </c>
      <c r="F82" s="1">
        <v>6.600659503261319</v>
      </c>
      <c r="G82" s="5">
        <v>0.2198763122084199</v>
      </c>
      <c r="H82" s="1">
        <v>3.269454066620433</v>
      </c>
      <c r="I82" t="s">
        <v>86</v>
      </c>
      <c r="L82" t="s">
        <v>41</v>
      </c>
      <c r="M82" t="s">
        <v>613</v>
      </c>
      <c r="P82" t="s">
        <v>559</v>
      </c>
    </row>
    <row r="83" spans="1:16">
      <c r="A83" t="s">
        <v>18</v>
      </c>
      <c r="B83" t="s">
        <v>19</v>
      </c>
      <c r="C83" t="s">
        <v>264</v>
      </c>
      <c r="E83" s="1">
        <v>4.628050497230176</v>
      </c>
      <c r="F83" s="1">
        <v>16.36076120496788</v>
      </c>
      <c r="G83" s="5">
        <v>0.7571842902971573</v>
      </c>
      <c r="H83" s="1">
        <v>4.958255212269568</v>
      </c>
      <c r="I83" t="s">
        <v>86</v>
      </c>
      <c r="L83" t="s">
        <v>41</v>
      </c>
      <c r="M83" t="s">
        <v>614</v>
      </c>
      <c r="P83" t="s">
        <v>559</v>
      </c>
    </row>
    <row r="84" spans="1:16">
      <c r="A84" t="s">
        <v>18</v>
      </c>
      <c r="B84" t="s">
        <v>19</v>
      </c>
      <c r="C84" t="s">
        <v>266</v>
      </c>
      <c r="E84" s="1">
        <v>1.578492068279798</v>
      </c>
      <c r="F84" s="1">
        <v>-49.79919678714859</v>
      </c>
      <c r="G84" s="5">
        <v>-0.7860763713521883</v>
      </c>
      <c r="H84" s="1">
        <v>0.7295873651925894</v>
      </c>
      <c r="I84" t="s">
        <v>296</v>
      </c>
      <c r="J84" t="s">
        <v>53</v>
      </c>
      <c r="L84" t="s">
        <v>41</v>
      </c>
      <c r="M84" t="s">
        <v>615</v>
      </c>
      <c r="P84" t="s">
        <v>559</v>
      </c>
    </row>
    <row r="85" spans="1:16">
      <c r="A85" t="s">
        <v>18</v>
      </c>
      <c r="B85" t="s">
        <v>19</v>
      </c>
      <c r="C85" t="s">
        <v>268</v>
      </c>
      <c r="E85" s="1">
        <v>15.70243083254607</v>
      </c>
      <c r="F85" s="1">
        <v>47.08631336048403</v>
      </c>
      <c r="G85" s="5">
        <v>7.393695787025904</v>
      </c>
      <c r="H85" s="1">
        <v>21.26490203546198</v>
      </c>
      <c r="I85" t="s">
        <v>86</v>
      </c>
      <c r="J85" t="s">
        <v>79</v>
      </c>
      <c r="L85" t="s">
        <v>41</v>
      </c>
      <c r="M85" t="s">
        <v>616</v>
      </c>
      <c r="P85" t="s">
        <v>559</v>
      </c>
    </row>
    <row r="86" spans="1:16">
      <c r="A86" t="s">
        <v>18</v>
      </c>
      <c r="B86" t="s">
        <v>19</v>
      </c>
      <c r="C86" t="s">
        <v>338</v>
      </c>
      <c r="E86" s="1">
        <v>10</v>
      </c>
      <c r="F86" s="1">
        <v>-12.55875363022593</v>
      </c>
      <c r="G86" s="5">
        <v>-1.255875363022593</v>
      </c>
      <c r="H86" s="1">
        <v>8.050828472408162</v>
      </c>
      <c r="I86" t="s">
        <v>86</v>
      </c>
      <c r="J86" t="s">
        <v>45</v>
      </c>
      <c r="L86" t="s">
        <v>41</v>
      </c>
      <c r="M86" t="s">
        <v>617</v>
      </c>
      <c r="P86" t="s">
        <v>559</v>
      </c>
    </row>
    <row r="87" spans="1:16">
      <c r="A87" t="s">
        <v>18</v>
      </c>
      <c r="B87" t="s">
        <v>19</v>
      </c>
      <c r="C87" t="s">
        <v>111</v>
      </c>
      <c r="E87" s="1">
        <v>10.37257941175191</v>
      </c>
      <c r="F87" s="1">
        <v>-24.28256478640733</v>
      </c>
      <c r="G87" s="5">
        <v>-2.518728315680207</v>
      </c>
      <c r="H87" s="1">
        <v>7.231142126556526</v>
      </c>
      <c r="I87" t="s">
        <v>86</v>
      </c>
      <c r="J87" t="s">
        <v>50</v>
      </c>
      <c r="L87" t="s">
        <v>41</v>
      </c>
      <c r="M87" t="s">
        <v>618</v>
      </c>
      <c r="P87" t="s">
        <v>559</v>
      </c>
    </row>
    <row r="88" spans="1:16">
      <c r="A88" t="s">
        <v>18</v>
      </c>
      <c r="B88" t="s">
        <v>19</v>
      </c>
      <c r="C88" t="s">
        <v>271</v>
      </c>
      <c r="E88" s="1">
        <v>1.727477279589313</v>
      </c>
      <c r="F88" s="1">
        <v>9.909563016693678</v>
      </c>
      <c r="G88" s="5">
        <v>0.1711854496199686</v>
      </c>
      <c r="H88" s="1">
        <v>1.748123293574432</v>
      </c>
      <c r="I88" t="s">
        <v>86</v>
      </c>
      <c r="L88" t="s">
        <v>41</v>
      </c>
      <c r="M88" t="s">
        <v>619</v>
      </c>
      <c r="P88" t="s">
        <v>559</v>
      </c>
    </row>
    <row r="89" spans="1:16">
      <c r="A89" t="s">
        <v>18</v>
      </c>
      <c r="B89" t="s">
        <v>19</v>
      </c>
      <c r="C89" t="s">
        <v>292</v>
      </c>
      <c r="E89" s="1">
        <v>1.334190518877826</v>
      </c>
      <c r="F89" s="1">
        <v>-25.21463278876087</v>
      </c>
      <c r="G89" s="5">
        <v>-0.3364112400375072</v>
      </c>
      <c r="H89" s="1">
        <v>0.9186682670666141</v>
      </c>
      <c r="I89" t="s">
        <v>86</v>
      </c>
      <c r="L89" t="s">
        <v>41</v>
      </c>
      <c r="M89" t="s">
        <v>620</v>
      </c>
      <c r="P89" t="s">
        <v>559</v>
      </c>
    </row>
    <row r="90" spans="1:16">
      <c r="A90" t="s">
        <v>18</v>
      </c>
      <c r="B90" t="s">
        <v>19</v>
      </c>
      <c r="C90" t="s">
        <v>97</v>
      </c>
      <c r="E90" s="1">
        <v>5.740395438914115</v>
      </c>
      <c r="F90" s="1">
        <v>36.84408719120304</v>
      </c>
      <c r="G90" s="5">
        <v>2.11499630063336</v>
      </c>
      <c r="H90" s="1">
        <v>7.232560616900101</v>
      </c>
      <c r="I90" t="s">
        <v>86</v>
      </c>
      <c r="J90" t="s">
        <v>71</v>
      </c>
      <c r="L90" t="s">
        <v>41</v>
      </c>
      <c r="M90" t="s">
        <v>621</v>
      </c>
      <c r="P90" t="s">
        <v>559</v>
      </c>
    </row>
    <row r="91" spans="1:16">
      <c r="A91" t="s">
        <v>18</v>
      </c>
      <c r="B91" t="s">
        <v>19</v>
      </c>
      <c r="C91" t="s">
        <v>274</v>
      </c>
      <c r="E91" s="1">
        <v>3.835451101013026</v>
      </c>
      <c r="F91" s="1">
        <v>0.5906869920383695</v>
      </c>
      <c r="G91" s="5">
        <v>0.02265551073967598</v>
      </c>
      <c r="H91" s="1">
        <v>3.552208579934162</v>
      </c>
      <c r="I91" t="s">
        <v>86</v>
      </c>
      <c r="L91" t="s">
        <v>41</v>
      </c>
      <c r="M91" t="s">
        <v>622</v>
      </c>
      <c r="P91" t="s">
        <v>559</v>
      </c>
    </row>
    <row r="92" spans="1:16">
      <c r="A92" t="s">
        <v>18</v>
      </c>
      <c r="B92" t="s">
        <v>19</v>
      </c>
      <c r="C92" t="s">
        <v>277</v>
      </c>
      <c r="E92" s="1">
        <v>8.808573040208326</v>
      </c>
      <c r="F92" s="1">
        <v>7.178675268417867</v>
      </c>
      <c r="G92" s="5">
        <v>0.6323388543379589</v>
      </c>
      <c r="H92" s="1">
        <v>8.692369498564652</v>
      </c>
      <c r="I92" t="s">
        <v>86</v>
      </c>
      <c r="L92" t="s">
        <v>41</v>
      </c>
      <c r="M92" t="s">
        <v>623</v>
      </c>
      <c r="P92" t="s">
        <v>559</v>
      </c>
    </row>
    <row r="93" spans="1:16">
      <c r="A93" t="s">
        <v>18</v>
      </c>
      <c r="B93" t="s">
        <v>19</v>
      </c>
      <c r="G93" s="2">
        <v>-3.836E-15</v>
      </c>
      <c r="I93" t="s">
        <v>57</v>
      </c>
      <c r="L93" t="s">
        <v>58</v>
      </c>
      <c r="M93" t="s">
        <v>624</v>
      </c>
      <c r="P93" t="s">
        <v>60</v>
      </c>
    </row>
    <row r="94" spans="1:16">
      <c r="A94" t="s">
        <v>18</v>
      </c>
      <c r="B94" t="s">
        <v>19</v>
      </c>
      <c r="C94" t="s">
        <v>61</v>
      </c>
      <c r="G94" s="6">
        <f>SUM(G72:G93)</f>
        <v>8.611488456688821</v>
      </c>
      <c r="I94" t="s">
        <v>64</v>
      </c>
      <c r="K94" s="1">
        <v>15.67973720814175</v>
      </c>
      <c r="L94" t="s">
        <v>62</v>
      </c>
      <c r="M94" t="s">
        <v>625</v>
      </c>
      <c r="N94" s="1">
        <v>8.611488456688821</v>
      </c>
      <c r="O94" s="2">
        <f>G94-N94</f>
        <v>0</v>
      </c>
    </row>
    <row r="95" spans="1:16">
      <c r="A95" t="s">
        <v>20</v>
      </c>
      <c r="B95" t="s">
        <v>21</v>
      </c>
      <c r="C95" t="s">
        <v>239</v>
      </c>
      <c r="E95" s="1">
        <v>3.570857197999873</v>
      </c>
      <c r="F95" s="1">
        <v>36.32443472632194</v>
      </c>
      <c r="G95" s="5">
        <v>1.297093692057632</v>
      </c>
      <c r="H95" s="1">
        <v>3.191199513408831</v>
      </c>
      <c r="I95" t="s">
        <v>86</v>
      </c>
      <c r="L95" t="s">
        <v>41</v>
      </c>
      <c r="M95" t="s">
        <v>626</v>
      </c>
      <c r="P95" t="s">
        <v>559</v>
      </c>
    </row>
    <row r="96" spans="1:16">
      <c r="A96" t="s">
        <v>20</v>
      </c>
      <c r="B96" t="s">
        <v>21</v>
      </c>
      <c r="C96" t="s">
        <v>244</v>
      </c>
      <c r="E96" s="1">
        <v>3.427296494103754</v>
      </c>
      <c r="F96" s="1">
        <v>97.93081845470802</v>
      </c>
      <c r="G96" s="5">
        <v>3.35637950754532</v>
      </c>
      <c r="H96" s="1">
        <v>4.447058740834987</v>
      </c>
      <c r="I96" t="s">
        <v>86</v>
      </c>
      <c r="L96" t="s">
        <v>41</v>
      </c>
      <c r="M96" t="s">
        <v>627</v>
      </c>
      <c r="P96" t="s">
        <v>559</v>
      </c>
    </row>
    <row r="97" spans="1:16">
      <c r="A97" t="s">
        <v>20</v>
      </c>
      <c r="B97" t="s">
        <v>21</v>
      </c>
      <c r="C97" t="s">
        <v>246</v>
      </c>
      <c r="E97" s="1">
        <v>3.802924864332354</v>
      </c>
      <c r="F97" s="1">
        <v>74.07709790268071</v>
      </c>
      <c r="G97" s="5">
        <v>2.817096374916865</v>
      </c>
      <c r="H97" s="1">
        <v>4.3397743803448</v>
      </c>
      <c r="I97" t="s">
        <v>109</v>
      </c>
      <c r="L97" t="s">
        <v>41</v>
      </c>
      <c r="M97" t="s">
        <v>628</v>
      </c>
      <c r="P97" t="s">
        <v>559</v>
      </c>
    </row>
    <row r="98" spans="1:16">
      <c r="A98" t="s">
        <v>20</v>
      </c>
      <c r="B98" t="s">
        <v>21</v>
      </c>
      <c r="C98" t="s">
        <v>350</v>
      </c>
      <c r="E98" s="1">
        <v>10</v>
      </c>
      <c r="F98" s="1">
        <v>39.04722780289666</v>
      </c>
      <c r="G98" s="5">
        <v>3.904722780289667</v>
      </c>
      <c r="H98" s="1">
        <v>9.115281886095794</v>
      </c>
      <c r="I98" t="s">
        <v>86</v>
      </c>
      <c r="L98" t="s">
        <v>41</v>
      </c>
      <c r="M98" t="s">
        <v>629</v>
      </c>
      <c r="P98" t="s">
        <v>559</v>
      </c>
    </row>
    <row r="99" spans="1:16">
      <c r="A99" t="s">
        <v>20</v>
      </c>
      <c r="B99" t="s">
        <v>21</v>
      </c>
      <c r="C99" t="s">
        <v>248</v>
      </c>
      <c r="E99" s="1">
        <v>4.431909898343453</v>
      </c>
      <c r="F99" s="1">
        <v>71.19504473621087</v>
      </c>
      <c r="G99" s="5">
        <v>3.15530023479418</v>
      </c>
      <c r="H99" s="1">
        <v>4.973817902405614</v>
      </c>
      <c r="I99" t="s">
        <v>86</v>
      </c>
      <c r="L99" t="s">
        <v>41</v>
      </c>
      <c r="M99" t="s">
        <v>630</v>
      </c>
      <c r="P99" t="s">
        <v>559</v>
      </c>
    </row>
    <row r="100" spans="1:16">
      <c r="A100" t="s">
        <v>20</v>
      </c>
      <c r="B100" t="s">
        <v>21</v>
      </c>
      <c r="C100" t="s">
        <v>250</v>
      </c>
      <c r="E100" s="1">
        <v>0.759649364707825</v>
      </c>
      <c r="F100" s="1">
        <v>112.2592995526929</v>
      </c>
      <c r="G100" s="5">
        <v>0.852777055877486</v>
      </c>
      <c r="H100" s="1">
        <v>1.057030879109506</v>
      </c>
      <c r="I100" t="s">
        <v>86</v>
      </c>
      <c r="L100" t="s">
        <v>41</v>
      </c>
      <c r="M100" t="s">
        <v>631</v>
      </c>
      <c r="P100" t="s">
        <v>559</v>
      </c>
    </row>
    <row r="101" spans="1:16">
      <c r="A101" t="s">
        <v>20</v>
      </c>
      <c r="B101" t="s">
        <v>21</v>
      </c>
      <c r="C101" t="s">
        <v>252</v>
      </c>
      <c r="E101" s="1">
        <v>1.781284865257222</v>
      </c>
      <c r="F101" s="1">
        <v>30.04746896661796</v>
      </c>
      <c r="G101" s="5">
        <v>0.5352310170952264</v>
      </c>
      <c r="H101" s="1">
        <v>1.518598795165667</v>
      </c>
      <c r="I101" t="s">
        <v>86</v>
      </c>
      <c r="L101" t="s">
        <v>41</v>
      </c>
      <c r="M101" t="s">
        <v>632</v>
      </c>
      <c r="P101" t="s">
        <v>559</v>
      </c>
    </row>
    <row r="102" spans="1:16">
      <c r="A102" t="s">
        <v>20</v>
      </c>
      <c r="B102" t="s">
        <v>21</v>
      </c>
      <c r="C102" t="s">
        <v>254</v>
      </c>
      <c r="E102" s="1">
        <v>1.419413307148107</v>
      </c>
      <c r="F102" s="1">
        <v>42.68804029680769</v>
      </c>
      <c r="G102" s="5">
        <v>0.6059197245336344</v>
      </c>
      <c r="H102" s="1">
        <v>1.327713021590744</v>
      </c>
      <c r="I102" t="s">
        <v>86</v>
      </c>
      <c r="L102" t="s">
        <v>41</v>
      </c>
      <c r="M102" t="s">
        <v>633</v>
      </c>
      <c r="P102" t="s">
        <v>559</v>
      </c>
    </row>
    <row r="103" spans="1:16">
      <c r="A103" t="s">
        <v>20</v>
      </c>
      <c r="B103" t="s">
        <v>21</v>
      </c>
      <c r="C103" t="s">
        <v>256</v>
      </c>
      <c r="E103" s="1">
        <v>0.970221766676614</v>
      </c>
      <c r="F103" s="1">
        <v>131.6105257098826</v>
      </c>
      <c r="G103" s="5">
        <v>1.276913967674802</v>
      </c>
      <c r="H103" s="1">
        <v>1.473116435227867</v>
      </c>
      <c r="I103" t="s">
        <v>86</v>
      </c>
      <c r="L103" t="s">
        <v>41</v>
      </c>
      <c r="M103" t="s">
        <v>634</v>
      </c>
      <c r="P103" t="s">
        <v>559</v>
      </c>
    </row>
    <row r="104" spans="1:16">
      <c r="A104" t="s">
        <v>20</v>
      </c>
      <c r="B104" t="s">
        <v>21</v>
      </c>
      <c r="C104" t="s">
        <v>141</v>
      </c>
      <c r="E104" s="1">
        <v>7.124859480024642</v>
      </c>
      <c r="F104" s="1">
        <v>68.80561860163527</v>
      </c>
      <c r="G104" s="5">
        <v>4.902303639728211</v>
      </c>
      <c r="H104" s="1">
        <v>7.884442132280949</v>
      </c>
      <c r="I104" t="s">
        <v>86</v>
      </c>
      <c r="L104" t="s">
        <v>41</v>
      </c>
      <c r="M104" t="s">
        <v>635</v>
      </c>
      <c r="P104" t="s">
        <v>559</v>
      </c>
    </row>
    <row r="105" spans="1:16">
      <c r="A105" t="s">
        <v>20</v>
      </c>
      <c r="B105" t="s">
        <v>21</v>
      </c>
      <c r="C105" t="s">
        <v>85</v>
      </c>
      <c r="E105" s="1">
        <v>1.828293180311862</v>
      </c>
      <c r="F105" s="1">
        <v>43.7404155465033</v>
      </c>
      <c r="G105" s="5">
        <v>0.7997030344767897</v>
      </c>
      <c r="H105" s="1">
        <v>1.722790642568444</v>
      </c>
      <c r="I105" t="s">
        <v>86</v>
      </c>
      <c r="L105" t="s">
        <v>41</v>
      </c>
      <c r="M105" t="s">
        <v>636</v>
      </c>
      <c r="P105" t="s">
        <v>559</v>
      </c>
    </row>
    <row r="106" spans="1:16">
      <c r="A106" t="s">
        <v>20</v>
      </c>
      <c r="B106" t="s">
        <v>21</v>
      </c>
      <c r="C106" t="s">
        <v>260</v>
      </c>
      <c r="E106" s="1">
        <v>2.942508659958389</v>
      </c>
      <c r="F106" s="1">
        <v>63.570516180955</v>
      </c>
      <c r="G106" s="5">
        <v>1.87056794380485</v>
      </c>
      <c r="H106" s="1">
        <v>3.15522651374719</v>
      </c>
      <c r="I106" t="s">
        <v>86</v>
      </c>
      <c r="L106" t="s">
        <v>41</v>
      </c>
      <c r="M106" t="s">
        <v>637</v>
      </c>
      <c r="P106" t="s">
        <v>559</v>
      </c>
    </row>
    <row r="107" spans="1:16">
      <c r="A107" t="s">
        <v>20</v>
      </c>
      <c r="B107" t="s">
        <v>21</v>
      </c>
      <c r="C107" t="s">
        <v>264</v>
      </c>
      <c r="E107" s="1">
        <v>4.462429691042611</v>
      </c>
      <c r="F107" s="1">
        <v>44.65655974415721</v>
      </c>
      <c r="G107" s="5">
        <v>1.992767581021454</v>
      </c>
      <c r="H107" s="1">
        <v>4.231723544221192</v>
      </c>
      <c r="I107" t="s">
        <v>109</v>
      </c>
      <c r="L107" t="s">
        <v>41</v>
      </c>
      <c r="M107" t="s">
        <v>638</v>
      </c>
      <c r="P107" t="s">
        <v>559</v>
      </c>
    </row>
    <row r="108" spans="1:16">
      <c r="A108" t="s">
        <v>20</v>
      </c>
      <c r="B108" t="s">
        <v>21</v>
      </c>
      <c r="C108" t="s">
        <v>266</v>
      </c>
      <c r="E108" s="1">
        <v>0.6566286286733304</v>
      </c>
      <c r="F108" s="1">
        <v>72.26666666666665</v>
      </c>
      <c r="G108" s="5">
        <v>0.4745236223212599</v>
      </c>
      <c r="H108" s="1">
        <v>0.7415301827177222</v>
      </c>
      <c r="I108" t="s">
        <v>296</v>
      </c>
      <c r="L108" t="s">
        <v>41</v>
      </c>
      <c r="M108" t="s">
        <v>639</v>
      </c>
      <c r="P108" t="s">
        <v>559</v>
      </c>
    </row>
    <row r="109" spans="1:16">
      <c r="A109" t="s">
        <v>20</v>
      </c>
      <c r="B109" t="s">
        <v>21</v>
      </c>
      <c r="C109" t="s">
        <v>268</v>
      </c>
      <c r="E109" s="1">
        <v>19.13841183191579</v>
      </c>
      <c r="F109" s="1">
        <v>34.8349755331018</v>
      </c>
      <c r="G109" s="5">
        <v>6.666861079072124</v>
      </c>
      <c r="H109" s="1">
        <v>16.91672250127279</v>
      </c>
      <c r="I109" t="s">
        <v>86</v>
      </c>
      <c r="J109" t="s">
        <v>71</v>
      </c>
      <c r="L109" t="s">
        <v>41</v>
      </c>
      <c r="M109" t="s">
        <v>640</v>
      </c>
      <c r="P109" t="s">
        <v>559</v>
      </c>
    </row>
    <row r="110" spans="1:16">
      <c r="A110" t="s">
        <v>20</v>
      </c>
      <c r="B110" t="s">
        <v>21</v>
      </c>
      <c r="C110" t="s">
        <v>338</v>
      </c>
      <c r="E110" s="1">
        <v>7.245745625167345</v>
      </c>
      <c r="F110" s="1">
        <v>77.40566254246724</v>
      </c>
      <c r="G110" s="5">
        <v>5.608617407302618</v>
      </c>
      <c r="H110" s="1">
        <v>8.426715466292229</v>
      </c>
      <c r="I110" t="s">
        <v>86</v>
      </c>
      <c r="J110" t="s">
        <v>69</v>
      </c>
      <c r="L110" t="s">
        <v>41</v>
      </c>
      <c r="M110" t="s">
        <v>641</v>
      </c>
      <c r="P110" t="s">
        <v>559</v>
      </c>
    </row>
    <row r="111" spans="1:16">
      <c r="A111" t="s">
        <v>20</v>
      </c>
      <c r="B111" t="s">
        <v>21</v>
      </c>
      <c r="C111" t="s">
        <v>111</v>
      </c>
      <c r="E111" s="1">
        <v>6.508027913900874</v>
      </c>
      <c r="F111" s="1">
        <v>107.9676173684259</v>
      </c>
      <c r="G111" s="5">
        <v>7.026562676310845</v>
      </c>
      <c r="H111" s="1">
        <v>8.872640641031845</v>
      </c>
      <c r="I111" t="s">
        <v>86</v>
      </c>
      <c r="J111" t="s">
        <v>79</v>
      </c>
      <c r="L111" t="s">
        <v>41</v>
      </c>
      <c r="M111" t="s">
        <v>642</v>
      </c>
      <c r="P111" t="s">
        <v>559</v>
      </c>
    </row>
    <row r="112" spans="1:16">
      <c r="A112" t="s">
        <v>20</v>
      </c>
      <c r="B112" t="s">
        <v>21</v>
      </c>
      <c r="C112" t="s">
        <v>271</v>
      </c>
      <c r="E112" s="1">
        <v>1.573310964216988</v>
      </c>
      <c r="F112" s="1">
        <v>73.69180277083041</v>
      </c>
      <c r="G112" s="5">
        <v>1.159401212722633</v>
      </c>
      <c r="H112" s="1">
        <v>1.791437499327995</v>
      </c>
      <c r="I112" t="s">
        <v>109</v>
      </c>
      <c r="L112" t="s">
        <v>41</v>
      </c>
      <c r="M112" t="s">
        <v>643</v>
      </c>
      <c r="P112" t="s">
        <v>559</v>
      </c>
    </row>
    <row r="113" spans="1:16">
      <c r="A113" t="s">
        <v>20</v>
      </c>
      <c r="B113" t="s">
        <v>21</v>
      </c>
      <c r="C113" t="s">
        <v>292</v>
      </c>
      <c r="E113" s="1">
        <v>0.8268014403599527</v>
      </c>
      <c r="F113" s="1">
        <v>32.22217742880495</v>
      </c>
      <c r="G113" s="5">
        <v>0.2664134270966989</v>
      </c>
      <c r="H113" s="1">
        <v>0.7166602194373729</v>
      </c>
      <c r="I113" t="s">
        <v>86</v>
      </c>
      <c r="L113" t="s">
        <v>41</v>
      </c>
      <c r="M113" t="s">
        <v>644</v>
      </c>
      <c r="P113" t="s">
        <v>559</v>
      </c>
    </row>
    <row r="114" spans="1:16">
      <c r="A114" t="s">
        <v>20</v>
      </c>
      <c r="B114" t="s">
        <v>21</v>
      </c>
      <c r="C114" t="s">
        <v>97</v>
      </c>
      <c r="E114" s="1">
        <v>6.509304555210091</v>
      </c>
      <c r="F114" s="1">
        <v>-9.894442070852472</v>
      </c>
      <c r="G114" s="5">
        <v>-0.6440593684306238</v>
      </c>
      <c r="H114" s="1">
        <v>3.844978720780196</v>
      </c>
      <c r="I114" t="s">
        <v>86</v>
      </c>
      <c r="J114" t="s">
        <v>50</v>
      </c>
      <c r="L114" t="s">
        <v>41</v>
      </c>
      <c r="M114" t="s">
        <v>645</v>
      </c>
      <c r="P114" t="s">
        <v>559</v>
      </c>
    </row>
    <row r="115" spans="1:16">
      <c r="A115" t="s">
        <v>20</v>
      </c>
      <c r="B115" t="s">
        <v>21</v>
      </c>
      <c r="C115" t="s">
        <v>274</v>
      </c>
      <c r="E115" s="1">
        <v>3.196987721940746</v>
      </c>
      <c r="F115" s="1">
        <v>89.84608936677114</v>
      </c>
      <c r="G115" s="5">
        <v>2.872368445699583</v>
      </c>
      <c r="H115" s="1">
        <v>3.978784274187677</v>
      </c>
      <c r="I115" t="s">
        <v>109</v>
      </c>
      <c r="L115" t="s">
        <v>41</v>
      </c>
      <c r="M115" t="s">
        <v>646</v>
      </c>
      <c r="P115" t="s">
        <v>559</v>
      </c>
    </row>
    <row r="116" spans="1:16">
      <c r="A116" t="s">
        <v>20</v>
      </c>
      <c r="B116" t="s">
        <v>21</v>
      </c>
      <c r="C116" t="s">
        <v>277</v>
      </c>
      <c r="E116" s="1">
        <v>7.823132548708184</v>
      </c>
      <c r="F116" s="1">
        <v>22.31224695306659</v>
      </c>
      <c r="G116" s="5">
        <v>1.745516653733503</v>
      </c>
      <c r="H116" s="1">
        <v>6.272756107950586</v>
      </c>
      <c r="I116" t="s">
        <v>86</v>
      </c>
      <c r="L116" t="s">
        <v>41</v>
      </c>
      <c r="M116" t="s">
        <v>647</v>
      </c>
      <c r="P116" t="s">
        <v>559</v>
      </c>
    </row>
    <row r="117" spans="1:16">
      <c r="A117" t="s">
        <v>20</v>
      </c>
      <c r="B117" t="s">
        <v>21</v>
      </c>
      <c r="G117" s="2">
        <v>2.6E-16</v>
      </c>
      <c r="I117" t="s">
        <v>57</v>
      </c>
      <c r="L117" t="s">
        <v>58</v>
      </c>
      <c r="M117" t="s">
        <v>648</v>
      </c>
      <c r="P117" t="s">
        <v>60</v>
      </c>
    </row>
    <row r="118" spans="1:16">
      <c r="A118" t="s">
        <v>20</v>
      </c>
      <c r="B118" t="s">
        <v>21</v>
      </c>
      <c r="C118" t="s">
        <v>61</v>
      </c>
      <c r="G118" s="6">
        <f>SUM(G95:G117)</f>
        <v>52.54298170964476</v>
      </c>
      <c r="I118" t="s">
        <v>64</v>
      </c>
      <c r="K118" s="1">
        <v>38.76264868231611</v>
      </c>
      <c r="L118" t="s">
        <v>62</v>
      </c>
      <c r="M118" t="s">
        <v>649</v>
      </c>
      <c r="N118" s="1">
        <v>52.54298170964476</v>
      </c>
      <c r="O118" s="2">
        <f>G118-N118</f>
        <v>0</v>
      </c>
    </row>
    <row r="119" spans="1:16">
      <c r="A119" t="s">
        <v>22</v>
      </c>
      <c r="B119" t="s">
        <v>23</v>
      </c>
      <c r="C119" t="s">
        <v>239</v>
      </c>
      <c r="E119" s="1">
        <v>2.978452879181575</v>
      </c>
      <c r="F119" s="1">
        <v>-22.74609922178129</v>
      </c>
      <c r="G119" s="5">
        <v>-0.6774818471726429</v>
      </c>
      <c r="H119" s="1">
        <v>2.44360202481505</v>
      </c>
      <c r="I119" t="s">
        <v>86</v>
      </c>
      <c r="L119" t="s">
        <v>41</v>
      </c>
      <c r="M119" t="s">
        <v>650</v>
      </c>
      <c r="P119" t="s">
        <v>559</v>
      </c>
    </row>
    <row r="120" spans="1:16">
      <c r="A120" t="s">
        <v>22</v>
      </c>
      <c r="B120" t="s">
        <v>23</v>
      </c>
      <c r="C120" t="s">
        <v>244</v>
      </c>
      <c r="E120" s="1">
        <v>4.150588158112656</v>
      </c>
      <c r="F120" s="1">
        <v>-37.8911123455839</v>
      </c>
      <c r="G120" s="5">
        <v>-1.572704021992968</v>
      </c>
      <c r="H120" s="1">
        <v>2.737680225926552</v>
      </c>
      <c r="I120" t="s">
        <v>86</v>
      </c>
      <c r="J120" t="s">
        <v>53</v>
      </c>
      <c r="L120" t="s">
        <v>41</v>
      </c>
      <c r="M120" t="s">
        <v>651</v>
      </c>
      <c r="P120" t="s">
        <v>559</v>
      </c>
    </row>
    <row r="121" spans="1:16">
      <c r="A121" t="s">
        <v>22</v>
      </c>
      <c r="B121" t="s">
        <v>23</v>
      </c>
      <c r="C121" t="s">
        <v>246</v>
      </c>
      <c r="E121" s="1">
        <v>4.050456088321813</v>
      </c>
      <c r="F121" s="1">
        <v>-35.88439938793195</v>
      </c>
      <c r="G121" s="5">
        <v>-1.453481839766205</v>
      </c>
      <c r="H121" s="1">
        <v>2.757953682981608</v>
      </c>
      <c r="I121" t="s">
        <v>109</v>
      </c>
      <c r="L121" t="s">
        <v>41</v>
      </c>
      <c r="M121" t="s">
        <v>652</v>
      </c>
      <c r="P121" t="s">
        <v>559</v>
      </c>
    </row>
    <row r="122" spans="1:16">
      <c r="A122" t="s">
        <v>22</v>
      </c>
      <c r="B122" t="s">
        <v>23</v>
      </c>
      <c r="C122" t="s">
        <v>350</v>
      </c>
      <c r="E122" s="1">
        <v>8.50759642702274</v>
      </c>
      <c r="F122" s="1">
        <v>-11.123022436217</v>
      </c>
      <c r="G122" s="5">
        <v>-0.9463018593605351</v>
      </c>
      <c r="H122" s="1">
        <v>8.029998839068686</v>
      </c>
      <c r="I122" t="s">
        <v>86</v>
      </c>
      <c r="L122" t="s">
        <v>41</v>
      </c>
      <c r="M122" t="s">
        <v>653</v>
      </c>
      <c r="P122" t="s">
        <v>559</v>
      </c>
    </row>
    <row r="123" spans="1:16">
      <c r="A123" t="s">
        <v>22</v>
      </c>
      <c r="B123" t="s">
        <v>23</v>
      </c>
      <c r="C123" t="s">
        <v>248</v>
      </c>
      <c r="E123" s="1">
        <v>4.64223004224524</v>
      </c>
      <c r="F123" s="1">
        <v>-39.89682954953493</v>
      </c>
      <c r="G123" s="5">
        <v>-1.852102607251886</v>
      </c>
      <c r="H123" s="1">
        <v>2.963079914869312</v>
      </c>
      <c r="I123" t="s">
        <v>86</v>
      </c>
      <c r="J123" t="s">
        <v>45</v>
      </c>
      <c r="L123" t="s">
        <v>41</v>
      </c>
      <c r="M123" t="s">
        <v>654</v>
      </c>
      <c r="P123" t="s">
        <v>559</v>
      </c>
    </row>
    <row r="124" spans="1:16">
      <c r="A124" t="s">
        <v>22</v>
      </c>
      <c r="B124" t="s">
        <v>23</v>
      </c>
      <c r="C124" t="s">
        <v>250</v>
      </c>
      <c r="E124" s="1">
        <v>0.9865621538355388</v>
      </c>
      <c r="F124" s="1">
        <v>-24.30429359172361</v>
      </c>
      <c r="G124" s="5">
        <v>-0.2397769623330214</v>
      </c>
      <c r="H124" s="1">
        <v>0.7930763928236897</v>
      </c>
      <c r="I124" t="s">
        <v>86</v>
      </c>
      <c r="L124" t="s">
        <v>41</v>
      </c>
      <c r="M124" t="s">
        <v>655</v>
      </c>
      <c r="P124" t="s">
        <v>559</v>
      </c>
    </row>
    <row r="125" spans="1:16">
      <c r="A125" t="s">
        <v>22</v>
      </c>
      <c r="B125" t="s">
        <v>23</v>
      </c>
      <c r="C125" t="s">
        <v>252</v>
      </c>
      <c r="E125" s="1">
        <v>1.417358875487955</v>
      </c>
      <c r="F125" s="1">
        <v>0.7985565217684343</v>
      </c>
      <c r="G125" s="5">
        <v>0.01131841173707274</v>
      </c>
      <c r="H125" s="1">
        <v>1.517237141756767</v>
      </c>
      <c r="I125" t="s">
        <v>86</v>
      </c>
      <c r="L125" t="s">
        <v>41</v>
      </c>
      <c r="M125" t="s">
        <v>656</v>
      </c>
      <c r="P125" t="s">
        <v>559</v>
      </c>
    </row>
    <row r="126" spans="1:16">
      <c r="A126" t="s">
        <v>22</v>
      </c>
      <c r="B126" t="s">
        <v>23</v>
      </c>
      <c r="C126" t="s">
        <v>254</v>
      </c>
      <c r="E126" s="1">
        <v>1.239198820151362</v>
      </c>
      <c r="F126" s="1">
        <v>0.7558330594807705</v>
      </c>
      <c r="G126" s="5">
        <v>0.009366274355399754</v>
      </c>
      <c r="H126" s="1">
        <v>1.325960279641744</v>
      </c>
      <c r="I126" t="s">
        <v>296</v>
      </c>
      <c r="L126" t="s">
        <v>41</v>
      </c>
      <c r="M126" t="s">
        <v>657</v>
      </c>
      <c r="P126" t="s">
        <v>559</v>
      </c>
    </row>
    <row r="127" spans="1:16">
      <c r="A127" t="s">
        <v>22</v>
      </c>
      <c r="B127" t="s">
        <v>23</v>
      </c>
      <c r="C127" t="s">
        <v>256</v>
      </c>
      <c r="E127" s="1">
        <v>1.374908672879343</v>
      </c>
      <c r="F127" s="1">
        <v>29.76006488323783</v>
      </c>
      <c r="G127" s="5">
        <v>0.4091737131341567</v>
      </c>
      <c r="H127" s="1">
        <v>1.894672844748151</v>
      </c>
      <c r="I127" t="s">
        <v>86</v>
      </c>
      <c r="L127" t="s">
        <v>41</v>
      </c>
      <c r="M127" t="s">
        <v>658</v>
      </c>
      <c r="P127" t="s">
        <v>559</v>
      </c>
    </row>
    <row r="128" spans="1:16">
      <c r="A128" t="s">
        <v>22</v>
      </c>
      <c r="B128" t="s">
        <v>23</v>
      </c>
      <c r="C128" t="s">
        <v>141</v>
      </c>
      <c r="E128" s="1">
        <v>7.358812656795553</v>
      </c>
      <c r="F128" s="1">
        <v>-11.29879436204857</v>
      </c>
      <c r="G128" s="5">
        <v>-0.8314571095797326</v>
      </c>
      <c r="H128" s="1">
        <v>6.931968725368294</v>
      </c>
      <c r="I128" t="s">
        <v>86</v>
      </c>
      <c r="L128" t="s">
        <v>41</v>
      </c>
      <c r="M128" t="s">
        <v>659</v>
      </c>
      <c r="P128" t="s">
        <v>559</v>
      </c>
    </row>
    <row r="129" spans="1:16">
      <c r="A129" t="s">
        <v>22</v>
      </c>
      <c r="B129" t="s">
        <v>23</v>
      </c>
      <c r="C129" t="s">
        <v>85</v>
      </c>
      <c r="E129" s="1">
        <v>1.607937933063881</v>
      </c>
      <c r="F129" s="1">
        <v>-5.013455595010918</v>
      </c>
      <c r="G129" s="5">
        <v>-0.08061325426949406</v>
      </c>
      <c r="H129" s="1">
        <v>1.621999419259734</v>
      </c>
      <c r="I129" t="s">
        <v>86</v>
      </c>
      <c r="L129" t="s">
        <v>41</v>
      </c>
      <c r="M129" t="s">
        <v>660</v>
      </c>
      <c r="P129" t="s">
        <v>559</v>
      </c>
    </row>
    <row r="130" spans="1:16">
      <c r="A130" t="s">
        <v>22</v>
      </c>
      <c r="B130" t="s">
        <v>23</v>
      </c>
      <c r="C130" t="s">
        <v>260</v>
      </c>
      <c r="E130" s="1">
        <v>2.944878079497378</v>
      </c>
      <c r="F130" s="1">
        <v>26.47058823529411</v>
      </c>
      <c r="G130" s="5">
        <v>0.7795265504551881</v>
      </c>
      <c r="H130" s="1">
        <v>3.955270435124413</v>
      </c>
      <c r="I130" t="s">
        <v>377</v>
      </c>
      <c r="L130" t="s">
        <v>41</v>
      </c>
      <c r="M130" t="s">
        <v>661</v>
      </c>
      <c r="P130" t="s">
        <v>559</v>
      </c>
    </row>
    <row r="131" spans="1:16">
      <c r="A131" t="s">
        <v>22</v>
      </c>
      <c r="B131" t="s">
        <v>23</v>
      </c>
      <c r="C131" t="s">
        <v>379</v>
      </c>
      <c r="E131" s="1">
        <v>6.666666666666667</v>
      </c>
      <c r="F131" s="1">
        <v>-66.30347828408134</v>
      </c>
      <c r="G131" s="5">
        <v>-4.420231885605421</v>
      </c>
      <c r="H131" s="1">
        <v>2.385685218654635</v>
      </c>
      <c r="I131" t="s">
        <v>109</v>
      </c>
      <c r="J131" t="s">
        <v>50</v>
      </c>
      <c r="L131" t="s">
        <v>41</v>
      </c>
      <c r="M131" t="s">
        <v>380</v>
      </c>
      <c r="P131" t="s">
        <v>559</v>
      </c>
    </row>
    <row r="132" spans="1:16">
      <c r="A132" t="s">
        <v>22</v>
      </c>
      <c r="B132" t="s">
        <v>23</v>
      </c>
      <c r="C132" t="s">
        <v>264</v>
      </c>
      <c r="E132" s="1">
        <v>3.949608641273113</v>
      </c>
      <c r="F132" s="1">
        <v>-25.47732024524606</v>
      </c>
      <c r="G132" s="5">
        <v>-1.006254441971063</v>
      </c>
      <c r="H132" s="1">
        <v>3.12580479332799</v>
      </c>
      <c r="I132" t="s">
        <v>86</v>
      </c>
      <c r="L132" t="s">
        <v>41</v>
      </c>
      <c r="M132" t="s">
        <v>662</v>
      </c>
      <c r="P132" t="s">
        <v>559</v>
      </c>
    </row>
    <row r="133" spans="1:16">
      <c r="A133" t="s">
        <v>22</v>
      </c>
      <c r="B133" t="s">
        <v>23</v>
      </c>
      <c r="C133" t="s">
        <v>266</v>
      </c>
      <c r="E133" s="1">
        <v>0.6920948372032074</v>
      </c>
      <c r="F133" s="1">
        <v>-14.44788441692466</v>
      </c>
      <c r="G133" s="5">
        <v>-0.09999306213462232</v>
      </c>
      <c r="H133" s="1">
        <v>0.6288045683004336</v>
      </c>
      <c r="I133" t="s">
        <v>296</v>
      </c>
      <c r="L133" t="s">
        <v>41</v>
      </c>
      <c r="M133" t="s">
        <v>663</v>
      </c>
      <c r="P133" t="s">
        <v>559</v>
      </c>
    </row>
    <row r="134" spans="1:16">
      <c r="A134" t="s">
        <v>22</v>
      </c>
      <c r="B134" t="s">
        <v>23</v>
      </c>
      <c r="C134" t="s">
        <v>268</v>
      </c>
      <c r="E134" s="1">
        <v>15.78894100118794</v>
      </c>
      <c r="F134" s="1">
        <v>2.126233140189049</v>
      </c>
      <c r="G134" s="5">
        <v>0.3357096960521538</v>
      </c>
      <c r="H134" s="1">
        <v>17.12417433556735</v>
      </c>
      <c r="I134" t="s">
        <v>86</v>
      </c>
      <c r="L134" t="s">
        <v>41</v>
      </c>
      <c r="M134" t="s">
        <v>664</v>
      </c>
      <c r="P134" t="s">
        <v>559</v>
      </c>
    </row>
    <row r="135" spans="1:16">
      <c r="A135" t="s">
        <v>22</v>
      </c>
      <c r="B135" t="s">
        <v>23</v>
      </c>
      <c r="C135" t="s">
        <v>338</v>
      </c>
      <c r="E135" s="1">
        <v>7.864934435206081</v>
      </c>
      <c r="F135" s="1">
        <v>33.39095340920748</v>
      </c>
      <c r="G135" s="5">
        <v>2.626176592924379</v>
      </c>
      <c r="H135" s="1">
        <v>11.14142672561884</v>
      </c>
      <c r="I135" t="s">
        <v>109</v>
      </c>
      <c r="J135" t="s">
        <v>79</v>
      </c>
      <c r="L135" t="s">
        <v>41</v>
      </c>
      <c r="M135" t="s">
        <v>665</v>
      </c>
      <c r="P135" t="s">
        <v>559</v>
      </c>
    </row>
    <row r="136" spans="1:16">
      <c r="A136" t="s">
        <v>22</v>
      </c>
      <c r="B136" t="s">
        <v>23</v>
      </c>
      <c r="C136" t="s">
        <v>111</v>
      </c>
      <c r="E136" s="1">
        <v>8.281131264963056</v>
      </c>
      <c r="F136" s="1">
        <v>26.14056569458887</v>
      </c>
      <c r="G136" s="5">
        <v>2.164734558572806</v>
      </c>
      <c r="H136" s="1">
        <v>11.09337689273416</v>
      </c>
      <c r="I136" t="s">
        <v>86</v>
      </c>
      <c r="J136" t="s">
        <v>71</v>
      </c>
      <c r="L136" t="s">
        <v>41</v>
      </c>
      <c r="M136" t="s">
        <v>666</v>
      </c>
      <c r="P136" t="s">
        <v>559</v>
      </c>
    </row>
    <row r="137" spans="1:16">
      <c r="A137" t="s">
        <v>22</v>
      </c>
      <c r="B137" t="s">
        <v>23</v>
      </c>
      <c r="C137" t="s">
        <v>271</v>
      </c>
      <c r="E137" s="1">
        <v>1.672008332706129</v>
      </c>
      <c r="F137" s="1">
        <v>0.0447922917313992</v>
      </c>
      <c r="G137" s="5">
        <v>0.0007489308501591997</v>
      </c>
      <c r="H137" s="1">
        <v>1.776446977988013</v>
      </c>
      <c r="I137" t="s">
        <v>86</v>
      </c>
      <c r="L137" t="s">
        <v>41</v>
      </c>
      <c r="M137" t="s">
        <v>667</v>
      </c>
      <c r="P137" t="s">
        <v>559</v>
      </c>
    </row>
    <row r="138" spans="1:16">
      <c r="A138" t="s">
        <v>22</v>
      </c>
      <c r="B138" t="s">
        <v>23</v>
      </c>
      <c r="C138" t="s">
        <v>292</v>
      </c>
      <c r="E138" s="1">
        <v>0.6688828714748813</v>
      </c>
      <c r="F138" s="1">
        <v>40.5530938750744</v>
      </c>
      <c r="G138" s="5">
        <v>0.2712526987835018</v>
      </c>
      <c r="H138" s="1">
        <v>0.9984120404498507</v>
      </c>
      <c r="I138" t="s">
        <v>86</v>
      </c>
      <c r="L138" t="s">
        <v>41</v>
      </c>
      <c r="M138" t="s">
        <v>668</v>
      </c>
      <c r="P138" t="s">
        <v>559</v>
      </c>
    </row>
    <row r="139" spans="1:16">
      <c r="A139" t="s">
        <v>22</v>
      </c>
      <c r="B139" t="s">
        <v>23</v>
      </c>
      <c r="C139" t="s">
        <v>97</v>
      </c>
      <c r="E139" s="1">
        <v>3.588646806061516</v>
      </c>
      <c r="F139" s="1">
        <v>26.12891453856565</v>
      </c>
      <c r="G139" s="5">
        <v>0.9376744570467798</v>
      </c>
      <c r="H139" s="1">
        <v>4.806895719081747</v>
      </c>
      <c r="I139" t="s">
        <v>86</v>
      </c>
      <c r="J139" t="s">
        <v>69</v>
      </c>
      <c r="L139" t="s">
        <v>41</v>
      </c>
      <c r="M139" t="s">
        <v>669</v>
      </c>
      <c r="P139" t="s">
        <v>559</v>
      </c>
    </row>
    <row r="140" spans="1:16">
      <c r="A140" t="s">
        <v>22</v>
      </c>
      <c r="B140" t="s">
        <v>23</v>
      </c>
      <c r="C140" t="s">
        <v>274</v>
      </c>
      <c r="E140" s="1">
        <v>3.713531989241831</v>
      </c>
      <c r="F140" s="1">
        <v>-8.753520024254236</v>
      </c>
      <c r="G140" s="5">
        <v>-0.3250647662853702</v>
      </c>
      <c r="H140" s="1">
        <v>3.598509173671203</v>
      </c>
      <c r="I140" t="s">
        <v>86</v>
      </c>
      <c r="L140" t="s">
        <v>41</v>
      </c>
      <c r="M140" t="s">
        <v>670</v>
      </c>
      <c r="P140" t="s">
        <v>559</v>
      </c>
    </row>
    <row r="141" spans="1:16">
      <c r="A141" t="s">
        <v>22</v>
      </c>
      <c r="B141" t="s">
        <v>23</v>
      </c>
      <c r="C141" t="s">
        <v>277</v>
      </c>
      <c r="E141" s="1">
        <v>5.854572367420547</v>
      </c>
      <c r="F141" s="1">
        <v>2.098632671308698</v>
      </c>
      <c r="G141" s="5">
        <v>0.122865968468099</v>
      </c>
      <c r="H141" s="1">
        <v>6.347963628221764</v>
      </c>
      <c r="I141" t="s">
        <v>86</v>
      </c>
      <c r="L141" t="s">
        <v>41</v>
      </c>
      <c r="M141" t="s">
        <v>671</v>
      </c>
      <c r="P141" t="s">
        <v>559</v>
      </c>
    </row>
    <row r="142" spans="1:16">
      <c r="A142" t="s">
        <v>22</v>
      </c>
      <c r="B142" t="s">
        <v>23</v>
      </c>
      <c r="G142" s="2">
        <v>-1.6157E-15</v>
      </c>
      <c r="I142" t="s">
        <v>57</v>
      </c>
      <c r="L142" t="s">
        <v>58</v>
      </c>
      <c r="M142" t="s">
        <v>672</v>
      </c>
      <c r="P142" t="s">
        <v>60</v>
      </c>
    </row>
    <row r="143" spans="1:16">
      <c r="A143" t="s">
        <v>22</v>
      </c>
      <c r="B143" t="s">
        <v>23</v>
      </c>
      <c r="C143" t="s">
        <v>61</v>
      </c>
      <c r="G143" s="6">
        <f>SUM(G119:G142)</f>
        <v>-5.836915805343268</v>
      </c>
      <c r="I143" t="s">
        <v>64</v>
      </c>
      <c r="K143" s="1">
        <v>-5.854752830622212</v>
      </c>
      <c r="L143" t="s">
        <v>62</v>
      </c>
      <c r="M143" t="s">
        <v>673</v>
      </c>
      <c r="N143" s="1">
        <v>-5.836915805343268</v>
      </c>
      <c r="O143" s="2">
        <f>G143-N143</f>
        <v>0</v>
      </c>
    </row>
    <row r="144" spans="1:16">
      <c r="A144" t="s">
        <v>24</v>
      </c>
      <c r="B144" t="s">
        <v>25</v>
      </c>
      <c r="C144" t="s">
        <v>239</v>
      </c>
      <c r="E144" s="1">
        <v>2.30784635676977</v>
      </c>
      <c r="F144" s="1">
        <v>18.27555204343907</v>
      </c>
      <c r="G144" s="5">
        <v>0.4217716620140721</v>
      </c>
      <c r="H144" s="1">
        <v>2.790920257679789</v>
      </c>
      <c r="I144" t="s">
        <v>86</v>
      </c>
      <c r="L144" t="s">
        <v>41</v>
      </c>
      <c r="M144" t="s">
        <v>674</v>
      </c>
      <c r="P144" t="s">
        <v>559</v>
      </c>
    </row>
    <row r="145" spans="1:16">
      <c r="A145" t="s">
        <v>24</v>
      </c>
      <c r="B145" t="s">
        <v>25</v>
      </c>
      <c r="C145" t="s">
        <v>244</v>
      </c>
      <c r="E145" s="1">
        <v>2.585586880041744</v>
      </c>
      <c r="F145" s="1">
        <v>6.259091333784661</v>
      </c>
      <c r="G145" s="5">
        <v>0.161834244336166</v>
      </c>
      <c r="H145" s="1">
        <v>2.809123188533181</v>
      </c>
      <c r="I145" t="s">
        <v>86</v>
      </c>
      <c r="L145" t="s">
        <v>41</v>
      </c>
      <c r="M145" t="s">
        <v>675</v>
      </c>
      <c r="P145" t="s">
        <v>559</v>
      </c>
    </row>
    <row r="146" spans="1:16">
      <c r="A146" t="s">
        <v>24</v>
      </c>
      <c r="B146" t="s">
        <v>25</v>
      </c>
      <c r="C146" t="s">
        <v>246</v>
      </c>
      <c r="E146" s="1">
        <v>2.604734033927075</v>
      </c>
      <c r="F146" s="1">
        <v>40.2800783446614</v>
      </c>
      <c r="G146" s="5">
        <v>1.049188909535885</v>
      </c>
      <c r="H146" s="1">
        <v>3.735983384025023</v>
      </c>
      <c r="I146" t="s">
        <v>109</v>
      </c>
      <c r="L146" t="s">
        <v>41</v>
      </c>
      <c r="M146" t="s">
        <v>676</v>
      </c>
      <c r="P146" t="s">
        <v>559</v>
      </c>
    </row>
    <row r="147" spans="1:16">
      <c r="A147" t="s">
        <v>24</v>
      </c>
      <c r="B147" t="s">
        <v>25</v>
      </c>
      <c r="C147" t="s">
        <v>350</v>
      </c>
      <c r="E147" s="1">
        <v>7.583887792453758</v>
      </c>
      <c r="F147" s="1">
        <v>-11.07337901630255</v>
      </c>
      <c r="G147" s="5">
        <v>-0.8397926394295059</v>
      </c>
      <c r="H147" s="1">
        <v>6.8955552215623</v>
      </c>
      <c r="I147" t="s">
        <v>86</v>
      </c>
      <c r="L147" t="s">
        <v>41</v>
      </c>
      <c r="M147" t="s">
        <v>677</v>
      </c>
      <c r="P147" t="s">
        <v>559</v>
      </c>
    </row>
    <row r="148" spans="1:16">
      <c r="A148" t="s">
        <v>24</v>
      </c>
      <c r="B148" t="s">
        <v>25</v>
      </c>
      <c r="C148" t="s">
        <v>248</v>
      </c>
      <c r="E148" s="1">
        <v>2.798464364043239</v>
      </c>
      <c r="F148" s="1">
        <v>3.516318324810497</v>
      </c>
      <c r="G148" s="5">
        <v>0.09840291524614364</v>
      </c>
      <c r="H148" s="1">
        <v>2.961925631330878</v>
      </c>
      <c r="I148" t="s">
        <v>86</v>
      </c>
      <c r="L148" t="s">
        <v>41</v>
      </c>
      <c r="M148" t="s">
        <v>678</v>
      </c>
      <c r="P148" t="s">
        <v>559</v>
      </c>
    </row>
    <row r="149" spans="1:16">
      <c r="A149" t="s">
        <v>24</v>
      </c>
      <c r="B149" t="s">
        <v>25</v>
      </c>
      <c r="C149" t="s">
        <v>250</v>
      </c>
      <c r="E149" s="1">
        <v>0.7490165932223738</v>
      </c>
      <c r="F149" s="1">
        <v>40.23458121626098</v>
      </c>
      <c r="G149" s="5">
        <v>0.3013636895233271</v>
      </c>
      <c r="H149" s="1">
        <v>1.073969906854776</v>
      </c>
      <c r="I149" t="s">
        <v>109</v>
      </c>
      <c r="L149" t="s">
        <v>41</v>
      </c>
      <c r="M149" t="s">
        <v>679</v>
      </c>
      <c r="P149" t="s">
        <v>559</v>
      </c>
    </row>
    <row r="150" spans="1:16">
      <c r="A150" t="s">
        <v>24</v>
      </c>
      <c r="B150" t="s">
        <v>25</v>
      </c>
      <c r="C150" t="s">
        <v>252</v>
      </c>
      <c r="E150" s="1">
        <v>1.432946189436947</v>
      </c>
      <c r="F150" s="1">
        <v>11.13490112618283</v>
      </c>
      <c r="G150" s="5">
        <v>0.1595571413852085</v>
      </c>
      <c r="H150" s="1">
        <v>1.628268049166206</v>
      </c>
      <c r="I150" t="s">
        <v>86</v>
      </c>
      <c r="L150" t="s">
        <v>41</v>
      </c>
      <c r="M150" t="s">
        <v>680</v>
      </c>
      <c r="P150" t="s">
        <v>559</v>
      </c>
    </row>
    <row r="151" spans="1:16">
      <c r="A151" t="s">
        <v>24</v>
      </c>
      <c r="B151" t="s">
        <v>25</v>
      </c>
      <c r="C151" t="s">
        <v>254</v>
      </c>
      <c r="E151" s="1">
        <v>1.252295819661647</v>
      </c>
      <c r="F151" s="1">
        <v>-2.118490626333269</v>
      </c>
      <c r="G151" s="5">
        <v>-0.02652976955349541</v>
      </c>
      <c r="H151" s="1">
        <v>1.253294518456902</v>
      </c>
      <c r="I151" t="s">
        <v>86</v>
      </c>
      <c r="L151" t="s">
        <v>41</v>
      </c>
      <c r="M151" t="s">
        <v>681</v>
      </c>
      <c r="P151" t="s">
        <v>559</v>
      </c>
    </row>
    <row r="152" spans="1:16">
      <c r="A152" t="s">
        <v>24</v>
      </c>
      <c r="B152" t="s">
        <v>25</v>
      </c>
      <c r="C152" t="s">
        <v>256</v>
      </c>
      <c r="E152" s="1">
        <v>1.789413242262143</v>
      </c>
      <c r="F152" s="1">
        <v>4.546846478379929</v>
      </c>
      <c r="G152" s="5">
        <v>0.08136187298946024</v>
      </c>
      <c r="H152" s="1">
        <v>1.912789310002135</v>
      </c>
      <c r="I152" t="s">
        <v>109</v>
      </c>
      <c r="L152" t="s">
        <v>41</v>
      </c>
      <c r="M152" t="s">
        <v>682</v>
      </c>
      <c r="P152" t="s">
        <v>559</v>
      </c>
    </row>
    <row r="153" spans="1:16">
      <c r="A153" t="s">
        <v>24</v>
      </c>
      <c r="B153" t="s">
        <v>25</v>
      </c>
      <c r="C153" t="s">
        <v>141</v>
      </c>
      <c r="E153" s="1">
        <v>6.546859351736723</v>
      </c>
      <c r="F153" s="1">
        <v>-4.456766068841089</v>
      </c>
      <c r="G153" s="5">
        <v>-0.2917782061629519</v>
      </c>
      <c r="H153" s="1">
        <v>6.395558852000378</v>
      </c>
      <c r="I153" t="s">
        <v>109</v>
      </c>
      <c r="L153" t="s">
        <v>41</v>
      </c>
      <c r="M153" t="s">
        <v>683</v>
      </c>
      <c r="P153" t="s">
        <v>559</v>
      </c>
    </row>
    <row r="154" spans="1:16">
      <c r="A154" t="s">
        <v>24</v>
      </c>
      <c r="B154" t="s">
        <v>25</v>
      </c>
      <c r="C154" t="s">
        <v>85</v>
      </c>
      <c r="E154" s="1">
        <v>1.531888340411971</v>
      </c>
      <c r="F154" s="1">
        <v>6.892364133693185</v>
      </c>
      <c r="G154" s="5">
        <v>0.1055833225427826</v>
      </c>
      <c r="H154" s="1">
        <v>1.674246287967128</v>
      </c>
      <c r="I154" t="s">
        <v>86</v>
      </c>
      <c r="L154" t="s">
        <v>41</v>
      </c>
      <c r="M154" t="s">
        <v>684</v>
      </c>
      <c r="P154" t="s">
        <v>559</v>
      </c>
    </row>
    <row r="155" spans="1:16">
      <c r="A155" t="s">
        <v>24</v>
      </c>
      <c r="B155" t="s">
        <v>25</v>
      </c>
      <c r="C155" t="s">
        <v>260</v>
      </c>
      <c r="E155" s="1">
        <v>3.735533188728613</v>
      </c>
      <c r="F155" s="1">
        <v>11.49546371487748</v>
      </c>
      <c r="G155" s="5">
        <v>0.4294168622675034</v>
      </c>
      <c r="H155" s="1">
        <v>4.258487227721526</v>
      </c>
      <c r="I155" t="s">
        <v>86</v>
      </c>
      <c r="L155" t="s">
        <v>41</v>
      </c>
      <c r="M155" t="s">
        <v>685</v>
      </c>
      <c r="P155" t="s">
        <v>559</v>
      </c>
    </row>
    <row r="156" spans="1:16">
      <c r="A156" t="s">
        <v>24</v>
      </c>
      <c r="B156" t="s">
        <v>25</v>
      </c>
      <c r="C156" t="s">
        <v>379</v>
      </c>
      <c r="D156" t="s">
        <v>401</v>
      </c>
      <c r="E156" s="1">
        <v>2.2531471509516</v>
      </c>
      <c r="F156" s="1">
        <v>-42.4425899666433</v>
      </c>
      <c r="G156" s="5">
        <v>-0.9562940066234931</v>
      </c>
      <c r="H156" s="1">
        <v>1.325978099072501</v>
      </c>
      <c r="I156" t="s">
        <v>330</v>
      </c>
      <c r="J156" t="s">
        <v>53</v>
      </c>
      <c r="L156" t="s">
        <v>41</v>
      </c>
      <c r="M156" t="s">
        <v>686</v>
      </c>
      <c r="P156" t="s">
        <v>559</v>
      </c>
    </row>
    <row r="157" spans="1:16">
      <c r="A157" t="s">
        <v>24</v>
      </c>
      <c r="B157" t="s">
        <v>25</v>
      </c>
      <c r="C157" t="s">
        <v>264</v>
      </c>
      <c r="E157" s="1">
        <v>2.952148971476435</v>
      </c>
      <c r="F157" s="1">
        <v>19.92874473784665</v>
      </c>
      <c r="G157" s="5">
        <v>0.5883262328065039</v>
      </c>
      <c r="H157" s="1">
        <v>3.619987815675659</v>
      </c>
      <c r="I157" t="s">
        <v>86</v>
      </c>
      <c r="L157" t="s">
        <v>41</v>
      </c>
      <c r="M157" t="s">
        <v>687</v>
      </c>
      <c r="P157" t="s">
        <v>559</v>
      </c>
    </row>
    <row r="158" spans="1:16">
      <c r="A158" t="s">
        <v>24</v>
      </c>
      <c r="B158" t="s">
        <v>25</v>
      </c>
      <c r="C158" t="s">
        <v>266</v>
      </c>
      <c r="E158" s="1">
        <v>0.5938709811726318</v>
      </c>
      <c r="F158" s="1">
        <v>-7.961399276236425</v>
      </c>
      <c r="G158" s="5">
        <v>-0.04728043999685605</v>
      </c>
      <c r="H158" s="1">
        <v>0.5588659671521733</v>
      </c>
      <c r="I158" t="s">
        <v>296</v>
      </c>
      <c r="L158" t="s">
        <v>41</v>
      </c>
      <c r="M158" t="s">
        <v>688</v>
      </c>
      <c r="P158" t="s">
        <v>559</v>
      </c>
    </row>
    <row r="159" spans="1:16">
      <c r="A159" t="s">
        <v>24</v>
      </c>
      <c r="B159" t="s">
        <v>25</v>
      </c>
      <c r="C159" t="s">
        <v>405</v>
      </c>
      <c r="E159" s="1">
        <v>2.222222222222223</v>
      </c>
      <c r="F159" s="1">
        <v>-7.051863443330109</v>
      </c>
      <c r="G159" s="5">
        <v>-0.156708076518447</v>
      </c>
      <c r="H159" s="1">
        <v>2.111901823661479</v>
      </c>
      <c r="I159" t="s">
        <v>86</v>
      </c>
      <c r="L159" t="s">
        <v>41</v>
      </c>
      <c r="M159" t="s">
        <v>689</v>
      </c>
      <c r="P159" t="s">
        <v>559</v>
      </c>
    </row>
    <row r="160" spans="1:16">
      <c r="A160" t="s">
        <v>24</v>
      </c>
      <c r="B160" t="s">
        <v>25</v>
      </c>
      <c r="C160" t="s">
        <v>268</v>
      </c>
      <c r="E160" s="1">
        <v>16.17283131692473</v>
      </c>
      <c r="F160" s="1">
        <v>11.21527795214339</v>
      </c>
      <c r="G160" s="5">
        <v>1.813827984924399</v>
      </c>
      <c r="H160" s="1">
        <v>18.39060684244794</v>
      </c>
      <c r="I160" t="s">
        <v>86</v>
      </c>
      <c r="J160" t="s">
        <v>71</v>
      </c>
      <c r="L160" t="s">
        <v>41</v>
      </c>
      <c r="M160" t="s">
        <v>690</v>
      </c>
      <c r="P160" t="s">
        <v>559</v>
      </c>
    </row>
    <row r="161" spans="1:16">
      <c r="A161" t="s">
        <v>24</v>
      </c>
      <c r="B161" t="s">
        <v>25</v>
      </c>
      <c r="C161" t="s">
        <v>408</v>
      </c>
      <c r="E161" s="1">
        <v>3.333333333333333</v>
      </c>
      <c r="F161" s="1">
        <v>54.6652316492775</v>
      </c>
      <c r="G161" s="5">
        <v>1.82217438830925</v>
      </c>
      <c r="H161" s="1">
        <v>5.271291015791133</v>
      </c>
      <c r="I161" t="s">
        <v>86</v>
      </c>
      <c r="J161" t="s">
        <v>79</v>
      </c>
      <c r="L161" t="s">
        <v>41</v>
      </c>
      <c r="M161" t="s">
        <v>691</v>
      </c>
      <c r="P161" t="s">
        <v>559</v>
      </c>
    </row>
    <row r="162" spans="1:16">
      <c r="A162" t="s">
        <v>24</v>
      </c>
      <c r="B162" t="s">
        <v>25</v>
      </c>
      <c r="C162" t="s">
        <v>338</v>
      </c>
      <c r="E162" s="1">
        <v>10.52245857419558</v>
      </c>
      <c r="F162" s="1">
        <v>-30.82185993499526</v>
      </c>
      <c r="G162" s="5">
        <v>-3.243217443456459</v>
      </c>
      <c r="H162" s="1">
        <v>7.442719601245618</v>
      </c>
      <c r="I162" t="s">
        <v>86</v>
      </c>
      <c r="J162" t="s">
        <v>45</v>
      </c>
      <c r="L162" t="s">
        <v>41</v>
      </c>
      <c r="M162" t="s">
        <v>692</v>
      </c>
      <c r="P162" t="s">
        <v>559</v>
      </c>
    </row>
    <row r="163" spans="1:16">
      <c r="A163" t="s">
        <v>24</v>
      </c>
      <c r="B163" t="s">
        <v>25</v>
      </c>
      <c r="C163" t="s">
        <v>111</v>
      </c>
      <c r="E163" s="1">
        <v>10.47707817647115</v>
      </c>
      <c r="F163" s="1">
        <v>-36.01346042749856</v>
      </c>
      <c r="G163" s="5">
        <v>-3.773158403041526</v>
      </c>
      <c r="H163" s="1">
        <v>6.854477576265769</v>
      </c>
      <c r="I163" t="s">
        <v>86</v>
      </c>
      <c r="J163" t="s">
        <v>50</v>
      </c>
      <c r="L163" t="s">
        <v>41</v>
      </c>
      <c r="M163" t="s">
        <v>693</v>
      </c>
      <c r="P163" t="s">
        <v>559</v>
      </c>
    </row>
    <row r="164" spans="1:16">
      <c r="A164" t="s">
        <v>24</v>
      </c>
      <c r="B164" t="s">
        <v>25</v>
      </c>
      <c r="C164" t="s">
        <v>271</v>
      </c>
      <c r="E164" s="1">
        <v>1.677755479210902</v>
      </c>
      <c r="F164" s="1">
        <v>-1.461243570771731</v>
      </c>
      <c r="G164" s="5">
        <v>-0.02451609407323972</v>
      </c>
      <c r="H164" s="1">
        <v>1.690368124412709</v>
      </c>
      <c r="I164" t="s">
        <v>86</v>
      </c>
      <c r="L164" t="s">
        <v>41</v>
      </c>
      <c r="M164" t="s">
        <v>694</v>
      </c>
      <c r="P164" t="s">
        <v>559</v>
      </c>
    </row>
    <row r="165" spans="1:16">
      <c r="A165" t="s">
        <v>24</v>
      </c>
      <c r="B165" t="s">
        <v>25</v>
      </c>
      <c r="C165" t="s">
        <v>292</v>
      </c>
      <c r="D165" t="s">
        <v>414</v>
      </c>
      <c r="E165" s="1">
        <v>0.9429447048693033</v>
      </c>
      <c r="F165" s="1">
        <v>-5.14970357024529</v>
      </c>
      <c r="G165" s="5">
        <v>-0.04855885713209346</v>
      </c>
      <c r="H165" s="1">
        <v>0.9144721215402998</v>
      </c>
      <c r="I165" t="s">
        <v>293</v>
      </c>
      <c r="L165" t="s">
        <v>41</v>
      </c>
      <c r="M165" t="s">
        <v>695</v>
      </c>
      <c r="P165" t="s">
        <v>559</v>
      </c>
    </row>
    <row r="166" spans="1:16">
      <c r="A166" t="s">
        <v>24</v>
      </c>
      <c r="B166" t="s">
        <v>25</v>
      </c>
      <c r="C166" t="s">
        <v>97</v>
      </c>
      <c r="D166" t="s">
        <v>416</v>
      </c>
      <c r="E166" s="1">
        <v>4.539845956910539</v>
      </c>
      <c r="F166" s="1">
        <v>-15.09695236395867</v>
      </c>
      <c r="G166" s="5">
        <v>-0.6853783815118879</v>
      </c>
      <c r="H166" s="1">
        <v>3.941031882381444</v>
      </c>
      <c r="I166" t="s">
        <v>293</v>
      </c>
      <c r="L166" t="s">
        <v>41</v>
      </c>
      <c r="M166" t="s">
        <v>696</v>
      </c>
      <c r="P166" t="s">
        <v>559</v>
      </c>
    </row>
    <row r="167" spans="1:16">
      <c r="A167" t="s">
        <v>24</v>
      </c>
      <c r="B167" t="s">
        <v>25</v>
      </c>
      <c r="C167" t="s">
        <v>274</v>
      </c>
      <c r="E167" s="1">
        <v>3.398591997356136</v>
      </c>
      <c r="F167" s="1">
        <v>35.50268803846726</v>
      </c>
      <c r="G167" s="5">
        <v>1.206591514521663</v>
      </c>
      <c r="H167" s="1">
        <v>4.708607528667733</v>
      </c>
      <c r="I167" t="s">
        <v>86</v>
      </c>
      <c r="J167" t="s">
        <v>69</v>
      </c>
      <c r="L167" t="s">
        <v>41</v>
      </c>
      <c r="M167" t="s">
        <v>697</v>
      </c>
      <c r="P167" t="s">
        <v>559</v>
      </c>
    </row>
    <row r="168" spans="1:16">
      <c r="A168" t="s">
        <v>24</v>
      </c>
      <c r="B168" t="s">
        <v>25</v>
      </c>
      <c r="C168" t="s">
        <v>277</v>
      </c>
      <c r="D168" t="s">
        <v>119</v>
      </c>
      <c r="E168" s="1">
        <v>5.995298982209444</v>
      </c>
      <c r="F168" s="1">
        <v>-5.715758207174959</v>
      </c>
      <c r="G168" s="5">
        <v>-0.3426767936203131</v>
      </c>
      <c r="H168" s="1">
        <v>5.779569766385312</v>
      </c>
      <c r="I168" t="s">
        <v>293</v>
      </c>
      <c r="L168" t="s">
        <v>41</v>
      </c>
      <c r="M168" t="s">
        <v>698</v>
      </c>
      <c r="P168" t="s">
        <v>559</v>
      </c>
    </row>
    <row r="169" spans="1:16">
      <c r="A169" t="s">
        <v>24</v>
      </c>
      <c r="B169" t="s">
        <v>25</v>
      </c>
      <c r="G169" s="2">
        <v>-5.098E-15</v>
      </c>
      <c r="I169" t="s">
        <v>57</v>
      </c>
      <c r="L169" t="s">
        <v>58</v>
      </c>
      <c r="M169" t="s">
        <v>699</v>
      </c>
      <c r="P169" t="s">
        <v>60</v>
      </c>
    </row>
    <row r="170" spans="1:16">
      <c r="A170" t="s">
        <v>24</v>
      </c>
      <c r="B170" t="s">
        <v>25</v>
      </c>
      <c r="C170" t="s">
        <v>61</v>
      </c>
      <c r="G170" s="6">
        <f>SUM(G144:G169)</f>
        <v>-2.1964883707179084</v>
      </c>
      <c r="I170" t="s">
        <v>64</v>
      </c>
      <c r="K170" s="1">
        <v>33.39705028056146</v>
      </c>
      <c r="L170" t="s">
        <v>62</v>
      </c>
      <c r="M170" t="s">
        <v>700</v>
      </c>
      <c r="N170" s="1">
        <v>-2.196488370717908</v>
      </c>
      <c r="O170" s="2">
        <f>G170-N170</f>
        <v>0</v>
      </c>
    </row>
    <row r="171" spans="1:16">
      <c r="A171" t="s">
        <v>26</v>
      </c>
      <c r="B171" t="s">
        <v>27</v>
      </c>
      <c r="C171" t="s">
        <v>239</v>
      </c>
      <c r="E171" s="1">
        <v>2.728899807509126</v>
      </c>
      <c r="F171" s="1">
        <v>4.158750883428608</v>
      </c>
      <c r="G171" s="5">
        <v>0.1134881448526675</v>
      </c>
      <c r="H171" s="1">
        <v>3.006372803166504</v>
      </c>
      <c r="I171" t="s">
        <v>86</v>
      </c>
      <c r="L171" t="s">
        <v>41</v>
      </c>
      <c r="M171" t="s">
        <v>701</v>
      </c>
      <c r="P171" t="s">
        <v>559</v>
      </c>
    </row>
    <row r="172" spans="1:16">
      <c r="A172" t="s">
        <v>26</v>
      </c>
      <c r="B172" t="s">
        <v>27</v>
      </c>
      <c r="C172" t="s">
        <v>414</v>
      </c>
      <c r="E172" s="1">
        <v>0.8941505188394042</v>
      </c>
      <c r="F172" s="1">
        <v>-22.96298085450596</v>
      </c>
      <c r="G172" s="5">
        <v>-0.2053236124515581</v>
      </c>
      <c r="H172" s="1">
        <v>0.7285671457103575</v>
      </c>
      <c r="I172" t="s">
        <v>86</v>
      </c>
      <c r="L172" t="s">
        <v>41</v>
      </c>
      <c r="M172" t="s">
        <v>702</v>
      </c>
      <c r="P172" t="s">
        <v>559</v>
      </c>
    </row>
    <row r="173" spans="1:16">
      <c r="A173" t="s">
        <v>26</v>
      </c>
      <c r="B173" t="s">
        <v>27</v>
      </c>
      <c r="C173" t="s">
        <v>244</v>
      </c>
      <c r="E173" s="1">
        <v>2.746698228787999</v>
      </c>
      <c r="F173" s="1">
        <v>12.64342132350107</v>
      </c>
      <c r="G173" s="5">
        <v>0.3472766295508083</v>
      </c>
      <c r="H173" s="1">
        <v>3.272474420693283</v>
      </c>
      <c r="I173" t="s">
        <v>86</v>
      </c>
      <c r="L173" t="s">
        <v>41</v>
      </c>
      <c r="M173" t="s">
        <v>703</v>
      </c>
      <c r="P173" t="s">
        <v>559</v>
      </c>
    </row>
    <row r="174" spans="1:16">
      <c r="A174" t="s">
        <v>26</v>
      </c>
      <c r="B174" t="s">
        <v>27</v>
      </c>
      <c r="C174" t="s">
        <v>246</v>
      </c>
      <c r="E174" s="1">
        <v>3.652961531046689</v>
      </c>
      <c r="F174" s="1">
        <v>-22.31737506986515</v>
      </c>
      <c r="G174" s="5">
        <v>-0.8152451260415781</v>
      </c>
      <c r="H174" s="1">
        <v>3.001431741933055</v>
      </c>
      <c r="I174" t="s">
        <v>109</v>
      </c>
      <c r="L174" t="s">
        <v>41</v>
      </c>
      <c r="M174" t="s">
        <v>704</v>
      </c>
      <c r="P174" t="s">
        <v>559</v>
      </c>
    </row>
    <row r="175" spans="1:16">
      <c r="A175" t="s">
        <v>26</v>
      </c>
      <c r="B175" t="s">
        <v>27</v>
      </c>
      <c r="C175" t="s">
        <v>350</v>
      </c>
      <c r="E175" s="1">
        <v>6.742320661083137</v>
      </c>
      <c r="F175" s="1">
        <v>19.8231903501114</v>
      </c>
      <c r="G175" s="5">
        <v>1.3365430586614</v>
      </c>
      <c r="H175" s="1">
        <v>8.544954655942421</v>
      </c>
      <c r="I175" t="s">
        <v>86</v>
      </c>
      <c r="J175" t="s">
        <v>79</v>
      </c>
      <c r="L175" t="s">
        <v>41</v>
      </c>
      <c r="M175" t="s">
        <v>705</v>
      </c>
      <c r="P175" t="s">
        <v>559</v>
      </c>
    </row>
    <row r="176" spans="1:16">
      <c r="A176" t="s">
        <v>26</v>
      </c>
      <c r="B176" t="s">
        <v>27</v>
      </c>
      <c r="C176" t="s">
        <v>248</v>
      </c>
      <c r="E176" s="1">
        <v>2.896105061745747</v>
      </c>
      <c r="F176" s="1">
        <v>-24.31769486305437</v>
      </c>
      <c r="G176" s="5">
        <v>-0.7042659918288031</v>
      </c>
      <c r="H176" s="1">
        <v>2.318292041464902</v>
      </c>
      <c r="I176" t="s">
        <v>86</v>
      </c>
      <c r="L176" t="s">
        <v>41</v>
      </c>
      <c r="M176" t="s">
        <v>706</v>
      </c>
      <c r="P176" t="s">
        <v>559</v>
      </c>
    </row>
    <row r="177" spans="1:16">
      <c r="A177" t="s">
        <v>26</v>
      </c>
      <c r="B177" t="s">
        <v>27</v>
      </c>
      <c r="C177" t="s">
        <v>250</v>
      </c>
      <c r="E177" s="1">
        <v>1.05010390892467</v>
      </c>
      <c r="F177" s="1">
        <v>24.00177996962227</v>
      </c>
      <c r="G177" s="5">
        <v>0.2520436296725019</v>
      </c>
      <c r="H177" s="1">
        <v>1.377271861322066</v>
      </c>
      <c r="I177" t="s">
        <v>109</v>
      </c>
      <c r="L177" t="s">
        <v>41</v>
      </c>
      <c r="M177" t="s">
        <v>707</v>
      </c>
      <c r="P177" t="s">
        <v>559</v>
      </c>
    </row>
    <row r="178" spans="1:16">
      <c r="A178" t="s">
        <v>26</v>
      </c>
      <c r="B178" t="s">
        <v>27</v>
      </c>
      <c r="C178" t="s">
        <v>252</v>
      </c>
      <c r="E178" s="1">
        <v>1.592084314740291</v>
      </c>
      <c r="F178" s="1">
        <v>-16.25765955535634</v>
      </c>
      <c r="G178" s="5">
        <v>-0.2588356477247045</v>
      </c>
      <c r="H178" s="1">
        <v>1.410167295791951</v>
      </c>
      <c r="I178" t="s">
        <v>86</v>
      </c>
      <c r="L178" t="s">
        <v>41</v>
      </c>
      <c r="M178" t="s">
        <v>708</v>
      </c>
      <c r="P178" t="s">
        <v>559</v>
      </c>
    </row>
    <row r="179" spans="1:16">
      <c r="A179" t="s">
        <v>26</v>
      </c>
      <c r="B179" t="s">
        <v>27</v>
      </c>
      <c r="C179" t="s">
        <v>254</v>
      </c>
      <c r="E179" s="1">
        <v>1.22544352915786</v>
      </c>
      <c r="F179" s="1">
        <v>30.48431372032418</v>
      </c>
      <c r="G179" s="5">
        <v>0.3735680498938945</v>
      </c>
      <c r="H179" s="1">
        <v>1.691262770521915</v>
      </c>
      <c r="I179" t="s">
        <v>86</v>
      </c>
      <c r="L179" t="s">
        <v>41</v>
      </c>
      <c r="M179" t="s">
        <v>709</v>
      </c>
      <c r="P179" t="s">
        <v>559</v>
      </c>
    </row>
    <row r="180" spans="1:16">
      <c r="A180" t="s">
        <v>26</v>
      </c>
      <c r="B180" t="s">
        <v>27</v>
      </c>
      <c r="C180" t="s">
        <v>256</v>
      </c>
      <c r="E180" s="1">
        <v>1.870282880890977</v>
      </c>
      <c r="F180" s="1">
        <v>36.11967504498377</v>
      </c>
      <c r="G180" s="5">
        <v>0.6755400989997815</v>
      </c>
      <c r="H180" s="1">
        <v>2.692698215970231</v>
      </c>
      <c r="I180" t="s">
        <v>86</v>
      </c>
      <c r="L180" t="s">
        <v>41</v>
      </c>
      <c r="M180" t="s">
        <v>710</v>
      </c>
      <c r="P180" t="s">
        <v>559</v>
      </c>
    </row>
    <row r="181" spans="1:16">
      <c r="A181" t="s">
        <v>26</v>
      </c>
      <c r="B181" t="s">
        <v>27</v>
      </c>
      <c r="C181" t="s">
        <v>141</v>
      </c>
      <c r="E181" s="1">
        <v>6.253435321955925</v>
      </c>
      <c r="F181" s="1">
        <v>-22.03482468367226</v>
      </c>
      <c r="G181" s="5">
        <v>-1.377933509899824</v>
      </c>
      <c r="H181" s="1">
        <v>5.156782358782238</v>
      </c>
      <c r="I181" t="s">
        <v>86</v>
      </c>
      <c r="J181" t="s">
        <v>45</v>
      </c>
      <c r="L181" t="s">
        <v>41</v>
      </c>
      <c r="M181" t="s">
        <v>711</v>
      </c>
      <c r="P181" t="s">
        <v>559</v>
      </c>
    </row>
    <row r="182" spans="1:16">
      <c r="A182" t="s">
        <v>26</v>
      </c>
      <c r="B182" t="s">
        <v>27</v>
      </c>
      <c r="C182" t="s">
        <v>85</v>
      </c>
      <c r="E182" s="1">
        <v>1.637040814901192</v>
      </c>
      <c r="F182" s="1">
        <v>28.25045965195554</v>
      </c>
      <c r="G182" s="5">
        <v>0.4624715548997053</v>
      </c>
      <c r="H182" s="1">
        <v>2.220638770733735</v>
      </c>
      <c r="I182" t="s">
        <v>86</v>
      </c>
      <c r="L182" t="s">
        <v>41</v>
      </c>
      <c r="M182" t="s">
        <v>712</v>
      </c>
      <c r="P182" t="s">
        <v>559</v>
      </c>
    </row>
    <row r="183" spans="1:16">
      <c r="A183" t="s">
        <v>26</v>
      </c>
      <c r="B183" t="s">
        <v>27</v>
      </c>
      <c r="C183" t="s">
        <v>260</v>
      </c>
      <c r="E183" s="1">
        <v>4.163854178216604</v>
      </c>
      <c r="F183" s="1">
        <v>-5.537030082490513</v>
      </c>
      <c r="G183" s="5">
        <v>-0.2305538584388913</v>
      </c>
      <c r="H183" s="1">
        <v>4.160222779666737</v>
      </c>
      <c r="I183" t="s">
        <v>86</v>
      </c>
      <c r="L183" t="s">
        <v>41</v>
      </c>
      <c r="M183" t="s">
        <v>713</v>
      </c>
      <c r="P183" t="s">
        <v>559</v>
      </c>
    </row>
    <row r="184" spans="1:16">
      <c r="A184" t="s">
        <v>26</v>
      </c>
      <c r="B184" t="s">
        <v>27</v>
      </c>
      <c r="C184" t="s">
        <v>379</v>
      </c>
      <c r="E184" s="1">
        <v>1.296511919093112</v>
      </c>
      <c r="F184" s="1">
        <v>-64.81802426343155</v>
      </c>
      <c r="G184" s="5">
        <v>-0.8403734102960552</v>
      </c>
      <c r="H184" s="1">
        <v>0.4824543413171092</v>
      </c>
      <c r="I184" t="s">
        <v>296</v>
      </c>
      <c r="L184" t="s">
        <v>41</v>
      </c>
      <c r="M184" t="s">
        <v>714</v>
      </c>
      <c r="P184" t="s">
        <v>559</v>
      </c>
    </row>
    <row r="185" spans="1:16">
      <c r="A185" t="s">
        <v>26</v>
      </c>
      <c r="B185" t="s">
        <v>27</v>
      </c>
      <c r="C185" t="s">
        <v>264</v>
      </c>
      <c r="D185" t="s">
        <v>433</v>
      </c>
      <c r="E185" s="1">
        <v>3.539543641993978</v>
      </c>
      <c r="F185" s="1">
        <v>-14.77280235434507</v>
      </c>
      <c r="G185" s="5">
        <v>-0.5228897864775576</v>
      </c>
      <c r="H185" s="1">
        <v>3.190692565473402</v>
      </c>
      <c r="I185" t="s">
        <v>434</v>
      </c>
      <c r="L185" t="s">
        <v>41</v>
      </c>
      <c r="M185" t="s">
        <v>715</v>
      </c>
      <c r="P185" t="s">
        <v>559</v>
      </c>
    </row>
    <row r="186" spans="1:16">
      <c r="A186" t="s">
        <v>26</v>
      </c>
      <c r="B186" t="s">
        <v>27</v>
      </c>
      <c r="C186" t="s">
        <v>266</v>
      </c>
      <c r="E186" s="1">
        <v>0.5464467234376806</v>
      </c>
      <c r="F186" s="1">
        <v>-62.12319790301441</v>
      </c>
      <c r="G186" s="5">
        <v>-0.3394701794357282</v>
      </c>
      <c r="H186" s="1">
        <v>0.2189175662188642</v>
      </c>
      <c r="I186" t="s">
        <v>296</v>
      </c>
      <c r="L186" t="s">
        <v>41</v>
      </c>
      <c r="M186" t="s">
        <v>716</v>
      </c>
      <c r="P186" t="s">
        <v>559</v>
      </c>
    </row>
    <row r="187" spans="1:16">
      <c r="A187" t="s">
        <v>26</v>
      </c>
      <c r="B187" t="s">
        <v>27</v>
      </c>
      <c r="C187" t="s">
        <v>405</v>
      </c>
      <c r="E187" s="1">
        <v>2.064970672024557</v>
      </c>
      <c r="F187" s="1">
        <v>-9.965738191198126</v>
      </c>
      <c r="G187" s="5">
        <v>-0.205789570898992</v>
      </c>
      <c r="H187" s="1">
        <v>1.966442157883734</v>
      </c>
      <c r="I187" t="s">
        <v>86</v>
      </c>
      <c r="L187" t="s">
        <v>41</v>
      </c>
      <c r="M187" t="s">
        <v>717</v>
      </c>
      <c r="P187" t="s">
        <v>559</v>
      </c>
    </row>
    <row r="188" spans="1:16">
      <c r="A188" t="s">
        <v>26</v>
      </c>
      <c r="B188" t="s">
        <v>27</v>
      </c>
      <c r="C188" t="s">
        <v>268</v>
      </c>
      <c r="E188" s="1">
        <v>17.98192669039354</v>
      </c>
      <c r="F188" s="1">
        <v>-30.42546372484276</v>
      </c>
      <c r="G188" s="5">
        <v>-5.471084582213505</v>
      </c>
      <c r="H188" s="1">
        <v>13.23262555608921</v>
      </c>
      <c r="I188" t="s">
        <v>109</v>
      </c>
      <c r="J188" t="s">
        <v>50</v>
      </c>
      <c r="L188" t="s">
        <v>41</v>
      </c>
      <c r="M188" t="s">
        <v>718</v>
      </c>
      <c r="P188" t="s">
        <v>559</v>
      </c>
    </row>
    <row r="189" spans="1:16">
      <c r="A189" t="s">
        <v>26</v>
      </c>
      <c r="B189" t="s">
        <v>27</v>
      </c>
      <c r="C189" t="s">
        <v>408</v>
      </c>
      <c r="E189" s="1">
        <v>5.154151215440219</v>
      </c>
      <c r="F189" s="1">
        <v>-21.6614296549948</v>
      </c>
      <c r="G189" s="5">
        <v>-1.116462839844643</v>
      </c>
      <c r="H189" s="1">
        <v>4.270633257492428</v>
      </c>
      <c r="I189" t="s">
        <v>86</v>
      </c>
      <c r="J189" t="s">
        <v>53</v>
      </c>
      <c r="L189" t="s">
        <v>41</v>
      </c>
      <c r="M189" t="s">
        <v>719</v>
      </c>
      <c r="P189" t="s">
        <v>559</v>
      </c>
    </row>
    <row r="190" spans="1:16">
      <c r="A190" t="s">
        <v>26</v>
      </c>
      <c r="B190" t="s">
        <v>27</v>
      </c>
      <c r="C190" t="s">
        <v>338</v>
      </c>
      <c r="E190" s="1">
        <v>7.277325832329049</v>
      </c>
      <c r="F190" s="1">
        <v>-4.954846843926686</v>
      </c>
      <c r="G190" s="5">
        <v>-0.3605803493254171</v>
      </c>
      <c r="H190" s="1">
        <v>7.315790755884851</v>
      </c>
      <c r="I190" t="s">
        <v>86</v>
      </c>
      <c r="L190" t="s">
        <v>41</v>
      </c>
      <c r="M190" t="s">
        <v>720</v>
      </c>
      <c r="P190" t="s">
        <v>559</v>
      </c>
    </row>
    <row r="191" spans="1:16">
      <c r="A191" t="s">
        <v>26</v>
      </c>
      <c r="B191" t="s">
        <v>27</v>
      </c>
      <c r="C191" t="s">
        <v>111</v>
      </c>
      <c r="E191" s="1">
        <v>6.702155852348751</v>
      </c>
      <c r="F191" s="1">
        <v>17.72208530699782</v>
      </c>
      <c r="G191" s="5">
        <v>1.187761777561192</v>
      </c>
      <c r="H191" s="1">
        <v>8.345107768302968</v>
      </c>
      <c r="I191" t="s">
        <v>86</v>
      </c>
      <c r="J191" t="s">
        <v>71</v>
      </c>
      <c r="L191" t="s">
        <v>41</v>
      </c>
      <c r="M191" t="s">
        <v>721</v>
      </c>
      <c r="P191" t="s">
        <v>559</v>
      </c>
    </row>
    <row r="192" spans="1:16">
      <c r="A192" t="s">
        <v>26</v>
      </c>
      <c r="B192" t="s">
        <v>27</v>
      </c>
      <c r="C192" t="s">
        <v>441</v>
      </c>
      <c r="E192" s="1">
        <v>2.222222222222222</v>
      </c>
      <c r="F192" s="1">
        <v>14.38628219240787</v>
      </c>
      <c r="G192" s="5">
        <v>0.3196951598312862</v>
      </c>
      <c r="H192" s="1">
        <v>2.688567293902306</v>
      </c>
      <c r="I192" t="s">
        <v>86</v>
      </c>
      <c r="L192" t="s">
        <v>41</v>
      </c>
      <c r="M192" t="s">
        <v>442</v>
      </c>
      <c r="P192" t="s">
        <v>559</v>
      </c>
    </row>
    <row r="193" spans="1:16">
      <c r="A193" t="s">
        <v>26</v>
      </c>
      <c r="B193" t="s">
        <v>27</v>
      </c>
      <c r="C193" t="s">
        <v>271</v>
      </c>
      <c r="E193" s="1">
        <v>1.652804388314649</v>
      </c>
      <c r="F193" s="1">
        <v>12.36790745033198</v>
      </c>
      <c r="G193" s="5">
        <v>0.2044173170817815</v>
      </c>
      <c r="H193" s="1">
        <v>1.96436971945188</v>
      </c>
      <c r="I193" t="s">
        <v>86</v>
      </c>
      <c r="L193" t="s">
        <v>41</v>
      </c>
      <c r="M193" t="s">
        <v>722</v>
      </c>
      <c r="P193" t="s">
        <v>559</v>
      </c>
    </row>
    <row r="194" spans="1:16">
      <c r="A194" t="s">
        <v>26</v>
      </c>
      <c r="B194" t="s">
        <v>27</v>
      </c>
      <c r="C194" t="s">
        <v>416</v>
      </c>
      <c r="E194" s="1">
        <v>3.853453396106301</v>
      </c>
      <c r="F194" s="1">
        <v>14.89025306075278</v>
      </c>
      <c r="G194" s="5">
        <v>0.5737889622584006</v>
      </c>
      <c r="H194" s="1">
        <v>4.682661636021532</v>
      </c>
      <c r="I194" t="s">
        <v>86</v>
      </c>
      <c r="L194" t="s">
        <v>41</v>
      </c>
      <c r="M194" t="s">
        <v>723</v>
      </c>
      <c r="P194" t="s">
        <v>559</v>
      </c>
    </row>
    <row r="195" spans="1:16">
      <c r="A195" t="s">
        <v>26</v>
      </c>
      <c r="B195" t="s">
        <v>27</v>
      </c>
      <c r="C195" t="s">
        <v>274</v>
      </c>
      <c r="E195" s="1">
        <v>4.603971805808451</v>
      </c>
      <c r="F195" s="1">
        <v>-0.6087728298078909</v>
      </c>
      <c r="G195" s="5">
        <v>-0.02802772944577765</v>
      </c>
      <c r="H195" s="1">
        <v>4.839942347967193</v>
      </c>
      <c r="I195" t="s">
        <v>86</v>
      </c>
      <c r="L195" t="s">
        <v>41</v>
      </c>
      <c r="M195" t="s">
        <v>724</v>
      </c>
      <c r="P195" t="s">
        <v>559</v>
      </c>
    </row>
    <row r="196" spans="1:16">
      <c r="A196" t="s">
        <v>26</v>
      </c>
      <c r="B196" t="s">
        <v>27</v>
      </c>
      <c r="C196" t="s">
        <v>119</v>
      </c>
      <c r="E196" s="1">
        <v>5.65113488268786</v>
      </c>
      <c r="F196" s="1">
        <v>20.80408836425578</v>
      </c>
      <c r="G196" s="5">
        <v>1.175667094577664</v>
      </c>
      <c r="H196" s="1">
        <v>7.220658172295122</v>
      </c>
      <c r="I196" t="s">
        <v>86</v>
      </c>
      <c r="J196" t="s">
        <v>69</v>
      </c>
      <c r="L196" t="s">
        <v>41</v>
      </c>
      <c r="M196" t="s">
        <v>725</v>
      </c>
      <c r="P196" t="s">
        <v>559</v>
      </c>
    </row>
    <row r="197" spans="1:16">
      <c r="A197" t="s">
        <v>26</v>
      </c>
      <c r="B197" t="s">
        <v>27</v>
      </c>
      <c r="G197" s="2">
        <v>-1.445E-15</v>
      </c>
      <c r="I197" t="s">
        <v>57</v>
      </c>
      <c r="L197" t="s">
        <v>58</v>
      </c>
      <c r="M197" t="s">
        <v>726</v>
      </c>
      <c r="P197" t="s">
        <v>60</v>
      </c>
    </row>
    <row r="198" spans="1:16">
      <c r="A198" t="s">
        <v>26</v>
      </c>
      <c r="B198" t="s">
        <v>27</v>
      </c>
      <c r="C198" t="s">
        <v>61</v>
      </c>
      <c r="G198" s="6">
        <f>SUM(G171:G197)</f>
        <v>-5.454574716481952</v>
      </c>
      <c r="I198" t="s">
        <v>64</v>
      </c>
      <c r="K198" s="1">
        <v>-22.28654577550484</v>
      </c>
      <c r="L198" t="s">
        <v>62</v>
      </c>
      <c r="M198" t="s">
        <v>727</v>
      </c>
      <c r="N198" s="1">
        <v>-5.454574716481952</v>
      </c>
      <c r="O198" s="2">
        <f>G198-N198</f>
        <v>0</v>
      </c>
    </row>
    <row r="199" spans="1:16">
      <c r="A199" t="s">
        <v>28</v>
      </c>
      <c r="B199" t="s">
        <v>29</v>
      </c>
      <c r="C199" t="s">
        <v>239</v>
      </c>
      <c r="E199" s="1">
        <v>3.006372803166504</v>
      </c>
      <c r="F199" s="1">
        <v>30.2453539057566</v>
      </c>
      <c r="G199" s="5">
        <v>0.9092880940441246</v>
      </c>
      <c r="H199" s="1">
        <v>2.887012261987021</v>
      </c>
      <c r="I199" t="s">
        <v>86</v>
      </c>
      <c r="L199" t="s">
        <v>41</v>
      </c>
      <c r="M199" t="s">
        <v>728</v>
      </c>
      <c r="P199" t="s">
        <v>559</v>
      </c>
    </row>
    <row r="200" spans="1:16">
      <c r="A200" t="s">
        <v>28</v>
      </c>
      <c r="B200" t="s">
        <v>29</v>
      </c>
      <c r="C200" t="s">
        <v>414</v>
      </c>
      <c r="E200" s="1">
        <v>0.7285671457103575</v>
      </c>
      <c r="F200" s="1">
        <v>16.13570537590887</v>
      </c>
      <c r="G200" s="5">
        <v>0.117559448097492</v>
      </c>
      <c r="H200" s="1">
        <v>0.6238481614321396</v>
      </c>
      <c r="I200" t="s">
        <v>86</v>
      </c>
      <c r="L200" t="s">
        <v>41</v>
      </c>
      <c r="M200" t="s">
        <v>729</v>
      </c>
      <c r="P200" t="s">
        <v>559</v>
      </c>
    </row>
    <row r="201" spans="1:16">
      <c r="A201" t="s">
        <v>28</v>
      </c>
      <c r="B201" t="s">
        <v>29</v>
      </c>
      <c r="C201" t="s">
        <v>244</v>
      </c>
      <c r="E201" s="1">
        <v>3.272474420693282</v>
      </c>
      <c r="F201" s="1">
        <v>64.00320399682384</v>
      </c>
      <c r="G201" s="5">
        <v>2.094488479220201</v>
      </c>
      <c r="H201" s="1">
        <v>3.95705555420219</v>
      </c>
      <c r="I201" t="s">
        <v>86</v>
      </c>
      <c r="L201" t="s">
        <v>41</v>
      </c>
      <c r="M201" t="s">
        <v>730</v>
      </c>
      <c r="P201" t="s">
        <v>559</v>
      </c>
    </row>
    <row r="202" spans="1:16">
      <c r="A202" t="s">
        <v>28</v>
      </c>
      <c r="B202" t="s">
        <v>29</v>
      </c>
      <c r="C202" t="s">
        <v>246</v>
      </c>
      <c r="E202" s="1">
        <v>3.001431741933055</v>
      </c>
      <c r="F202" s="1">
        <v>2.134770492490645</v>
      </c>
      <c r="G202" s="5">
        <v>0.0640736791790348</v>
      </c>
      <c r="H202" s="1">
        <v>2.260193610290107</v>
      </c>
      <c r="I202" t="s">
        <v>86</v>
      </c>
      <c r="L202" t="s">
        <v>41</v>
      </c>
      <c r="M202" t="s">
        <v>731</v>
      </c>
      <c r="P202" t="s">
        <v>559</v>
      </c>
    </row>
    <row r="203" spans="1:16">
      <c r="A203" t="s">
        <v>28</v>
      </c>
      <c r="B203" t="s">
        <v>29</v>
      </c>
      <c r="C203" t="s">
        <v>350</v>
      </c>
      <c r="E203" s="1">
        <v>8.544954655942421</v>
      </c>
      <c r="F203" s="1">
        <v>29.27878882762085</v>
      </c>
      <c r="G203" s="5">
        <v>2.501859229129337</v>
      </c>
      <c r="H203" s="1">
        <v>8.144803132674109</v>
      </c>
      <c r="I203" t="s">
        <v>86</v>
      </c>
      <c r="L203" t="s">
        <v>41</v>
      </c>
      <c r="M203" t="s">
        <v>732</v>
      </c>
      <c r="P203" t="s">
        <v>559</v>
      </c>
    </row>
    <row r="204" spans="1:16">
      <c r="A204" t="s">
        <v>28</v>
      </c>
      <c r="B204" t="s">
        <v>29</v>
      </c>
      <c r="C204" t="s">
        <v>248</v>
      </c>
      <c r="E204" s="1">
        <v>2.318292041464902</v>
      </c>
      <c r="F204" s="1">
        <v>80.67600789963576</v>
      </c>
      <c r="G204" s="5">
        <v>1.870305470508851</v>
      </c>
      <c r="H204" s="1">
        <v>3.088248113162921</v>
      </c>
      <c r="I204" t="s">
        <v>86</v>
      </c>
      <c r="L204" t="s">
        <v>41</v>
      </c>
      <c r="M204" t="s">
        <v>733</v>
      </c>
      <c r="P204" t="s">
        <v>559</v>
      </c>
    </row>
    <row r="205" spans="1:16">
      <c r="A205" t="s">
        <v>28</v>
      </c>
      <c r="B205" t="s">
        <v>29</v>
      </c>
      <c r="C205" t="s">
        <v>250</v>
      </c>
      <c r="E205" s="1">
        <v>1.377271861322065</v>
      </c>
      <c r="F205" s="1">
        <v>33.82425618057041</v>
      </c>
      <c r="G205" s="5">
        <v>0.4658519626764858</v>
      </c>
      <c r="H205" s="1">
        <v>1.358933069008809</v>
      </c>
      <c r="I205" t="s">
        <v>86</v>
      </c>
      <c r="L205" t="s">
        <v>41</v>
      </c>
      <c r="M205" t="s">
        <v>734</v>
      </c>
      <c r="P205" t="s">
        <v>559</v>
      </c>
    </row>
    <row r="206" spans="1:16">
      <c r="A206" t="s">
        <v>28</v>
      </c>
      <c r="B206" t="s">
        <v>29</v>
      </c>
      <c r="C206" t="s">
        <v>252</v>
      </c>
      <c r="E206" s="1">
        <v>1.410167295791951</v>
      </c>
      <c r="F206" s="1">
        <v>21.44704822845984</v>
      </c>
      <c r="G206" s="5">
        <v>0.3024392600304678</v>
      </c>
      <c r="H206" s="1">
        <v>1.262702837761265</v>
      </c>
      <c r="I206" t="s">
        <v>86</v>
      </c>
      <c r="L206" t="s">
        <v>41</v>
      </c>
      <c r="M206" t="s">
        <v>735</v>
      </c>
      <c r="P206" t="s">
        <v>559</v>
      </c>
    </row>
    <row r="207" spans="1:16">
      <c r="A207" t="s">
        <v>28</v>
      </c>
      <c r="B207" t="s">
        <v>29</v>
      </c>
      <c r="C207" t="s">
        <v>254</v>
      </c>
      <c r="E207" s="1">
        <v>1.691262770521915</v>
      </c>
      <c r="F207" s="1">
        <v>15.76552670558342</v>
      </c>
      <c r="G207" s="5">
        <v>0.2666364837482227</v>
      </c>
      <c r="H207" s="1">
        <v>1.443556861330803</v>
      </c>
      <c r="I207" t="s">
        <v>86</v>
      </c>
      <c r="L207" t="s">
        <v>41</v>
      </c>
      <c r="M207" t="s">
        <v>736</v>
      </c>
      <c r="P207" t="s">
        <v>559</v>
      </c>
    </row>
    <row r="208" spans="1:16">
      <c r="A208" t="s">
        <v>28</v>
      </c>
      <c r="B208" t="s">
        <v>29</v>
      </c>
      <c r="C208" t="s">
        <v>256</v>
      </c>
      <c r="E208" s="1">
        <v>2.692698215970231</v>
      </c>
      <c r="F208" s="1">
        <v>23.42031779127716</v>
      </c>
      <c r="G208" s="5">
        <v>0.6306384793402786</v>
      </c>
      <c r="H208" s="1">
        <v>2.450292311294791</v>
      </c>
      <c r="I208" t="s">
        <v>86</v>
      </c>
      <c r="L208" t="s">
        <v>41</v>
      </c>
      <c r="M208" t="s">
        <v>737</v>
      </c>
      <c r="P208" t="s">
        <v>559</v>
      </c>
    </row>
    <row r="209" spans="1:16">
      <c r="A209" t="s">
        <v>28</v>
      </c>
      <c r="B209" t="s">
        <v>29</v>
      </c>
      <c r="C209" t="s">
        <v>141</v>
      </c>
      <c r="E209" s="1">
        <v>5.156782358782238</v>
      </c>
      <c r="F209" s="1">
        <v>101.1314775034562</v>
      </c>
      <c r="G209" s="5">
        <v>5.215130191074056</v>
      </c>
      <c r="H209" s="1">
        <v>7.647199156858315</v>
      </c>
      <c r="I209" t="s">
        <v>86</v>
      </c>
      <c r="J209" t="s">
        <v>71</v>
      </c>
      <c r="L209" t="s">
        <v>41</v>
      </c>
      <c r="M209" t="s">
        <v>738</v>
      </c>
      <c r="P209" t="s">
        <v>559</v>
      </c>
    </row>
    <row r="210" spans="1:16">
      <c r="A210" t="s">
        <v>28</v>
      </c>
      <c r="B210" t="s">
        <v>29</v>
      </c>
      <c r="C210" t="s">
        <v>85</v>
      </c>
      <c r="E210" s="1">
        <v>2.220638770733735</v>
      </c>
      <c r="F210" s="1">
        <v>23.58255458937104</v>
      </c>
      <c r="G210" s="5">
        <v>0.5236833503410212</v>
      </c>
      <c r="H210" s="1">
        <v>2.023385533724083</v>
      </c>
      <c r="I210" t="s">
        <v>86</v>
      </c>
      <c r="L210" t="s">
        <v>41</v>
      </c>
      <c r="M210" t="s">
        <v>739</v>
      </c>
      <c r="P210" t="s">
        <v>559</v>
      </c>
    </row>
    <row r="211" spans="1:16">
      <c r="A211" t="s">
        <v>28</v>
      </c>
      <c r="B211" t="s">
        <v>29</v>
      </c>
      <c r="C211" t="s">
        <v>260</v>
      </c>
      <c r="E211" s="1">
        <v>4.160222779666737</v>
      </c>
      <c r="F211" s="1">
        <v>42.60701378093494</v>
      </c>
      <c r="G211" s="5">
        <v>1.772546693050202</v>
      </c>
      <c r="H211" s="1">
        <v>4.374224087555031</v>
      </c>
      <c r="I211" t="s">
        <v>86</v>
      </c>
      <c r="L211" t="s">
        <v>41</v>
      </c>
      <c r="M211" t="s">
        <v>740</v>
      </c>
      <c r="P211" t="s">
        <v>559</v>
      </c>
    </row>
    <row r="212" spans="1:16">
      <c r="A212" t="s">
        <v>28</v>
      </c>
      <c r="B212" t="s">
        <v>29</v>
      </c>
      <c r="C212" t="s">
        <v>379</v>
      </c>
      <c r="E212" s="1">
        <v>0.4824543413171092</v>
      </c>
      <c r="F212" s="1">
        <v>-28.48932675088672</v>
      </c>
      <c r="G212" s="5">
        <v>-0.1374479937216695</v>
      </c>
      <c r="H212" s="1">
        <v>0.2543727820457923</v>
      </c>
      <c r="I212" t="s">
        <v>377</v>
      </c>
      <c r="J212" t="s">
        <v>45</v>
      </c>
      <c r="L212" t="s">
        <v>41</v>
      </c>
      <c r="M212" t="s">
        <v>741</v>
      </c>
      <c r="P212" t="s">
        <v>559</v>
      </c>
    </row>
    <row r="213" spans="1:16">
      <c r="A213" t="s">
        <v>28</v>
      </c>
      <c r="B213" t="s">
        <v>29</v>
      </c>
      <c r="C213" t="s">
        <v>264</v>
      </c>
      <c r="E213" s="1">
        <v>2.916188921539532</v>
      </c>
      <c r="F213" s="1">
        <v>33.10899929796711</v>
      </c>
      <c r="G213" s="5">
        <v>0.9655209695599181</v>
      </c>
      <c r="H213" s="1">
        <v>2.861980224350771</v>
      </c>
      <c r="I213" t="s">
        <v>86</v>
      </c>
      <c r="L213" t="s">
        <v>41</v>
      </c>
      <c r="M213" t="s">
        <v>742</v>
      </c>
      <c r="P213" t="s">
        <v>559</v>
      </c>
    </row>
    <row r="214" spans="1:16">
      <c r="A214" t="s">
        <v>28</v>
      </c>
      <c r="B214" t="s">
        <v>29</v>
      </c>
      <c r="C214" t="s">
        <v>266</v>
      </c>
      <c r="E214" s="1">
        <v>0.2189175662188642</v>
      </c>
      <c r="F214" s="1">
        <v>64.35986159169551</v>
      </c>
      <c r="G214" s="5">
        <v>0.1408950426183694</v>
      </c>
      <c r="H214" s="1">
        <v>0.265289421377276</v>
      </c>
      <c r="I214" t="s">
        <v>296</v>
      </c>
      <c r="L214" t="s">
        <v>41</v>
      </c>
      <c r="M214" t="s">
        <v>743</v>
      </c>
      <c r="P214" t="s">
        <v>559</v>
      </c>
    </row>
    <row r="215" spans="1:16">
      <c r="A215" t="s">
        <v>28</v>
      </c>
      <c r="B215" t="s">
        <v>29</v>
      </c>
      <c r="C215" t="s">
        <v>405</v>
      </c>
      <c r="E215" s="1">
        <v>1.966442157883734</v>
      </c>
      <c r="F215" s="1">
        <v>51.77358109302936</v>
      </c>
      <c r="G215" s="5">
        <v>1.018097525259451</v>
      </c>
      <c r="H215" s="1">
        <v>2.200497665096392</v>
      </c>
      <c r="I215" t="s">
        <v>86</v>
      </c>
      <c r="L215" t="s">
        <v>41</v>
      </c>
      <c r="M215" t="s">
        <v>744</v>
      </c>
      <c r="P215" t="s">
        <v>559</v>
      </c>
    </row>
    <row r="216" spans="1:16">
      <c r="A216" t="s">
        <v>28</v>
      </c>
      <c r="B216" t="s">
        <v>29</v>
      </c>
      <c r="C216" t="s">
        <v>268</v>
      </c>
      <c r="E216" s="1">
        <v>13.23262555608921</v>
      </c>
      <c r="F216" s="1">
        <v>67.04906988821635</v>
      </c>
      <c r="G216" s="5">
        <v>8.872352357148232</v>
      </c>
      <c r="H216" s="1">
        <v>16.29797471275663</v>
      </c>
      <c r="I216" t="s">
        <v>86</v>
      </c>
      <c r="J216" t="s">
        <v>79</v>
      </c>
      <c r="L216" t="s">
        <v>41</v>
      </c>
      <c r="M216" t="s">
        <v>745</v>
      </c>
      <c r="P216" t="s">
        <v>559</v>
      </c>
    </row>
    <row r="217" spans="1:16">
      <c r="A217" t="s">
        <v>28</v>
      </c>
      <c r="B217" t="s">
        <v>29</v>
      </c>
      <c r="C217" t="s">
        <v>408</v>
      </c>
      <c r="E217" s="1">
        <v>4.270633257492428</v>
      </c>
      <c r="F217" s="1">
        <v>13.74539081260058</v>
      </c>
      <c r="G217" s="5">
        <v>0.5870152314152293</v>
      </c>
      <c r="H217" s="1">
        <v>3.581538626567324</v>
      </c>
      <c r="I217" t="s">
        <v>86</v>
      </c>
      <c r="L217" t="s">
        <v>41</v>
      </c>
      <c r="M217" t="s">
        <v>746</v>
      </c>
      <c r="P217" t="s">
        <v>559</v>
      </c>
    </row>
    <row r="218" spans="1:16">
      <c r="A218" t="s">
        <v>28</v>
      </c>
      <c r="B218" t="s">
        <v>29</v>
      </c>
      <c r="C218" t="s">
        <v>338</v>
      </c>
      <c r="E218" s="1">
        <v>7.315790755884851</v>
      </c>
      <c r="F218" s="1">
        <v>27.58610668236408</v>
      </c>
      <c r="G218" s="5">
        <v>2.018141842576923</v>
      </c>
      <c r="H218" s="1">
        <v>6.881897736220132</v>
      </c>
      <c r="I218" t="s">
        <v>86</v>
      </c>
      <c r="L218" t="s">
        <v>41</v>
      </c>
      <c r="M218" t="s">
        <v>747</v>
      </c>
      <c r="P218" t="s">
        <v>559</v>
      </c>
    </row>
    <row r="219" spans="1:16">
      <c r="A219" t="s">
        <v>28</v>
      </c>
      <c r="B219" t="s">
        <v>29</v>
      </c>
      <c r="C219" t="s">
        <v>111</v>
      </c>
      <c r="E219" s="1">
        <v>8.345107768302968</v>
      </c>
      <c r="F219" s="1">
        <v>37.99579425859358</v>
      </c>
      <c r="G219" s="5">
        <v>3.170789978302306</v>
      </c>
      <c r="H219" s="1">
        <v>8.490658122597319</v>
      </c>
      <c r="I219" t="s">
        <v>86</v>
      </c>
      <c r="J219" t="s">
        <v>69</v>
      </c>
      <c r="L219" t="s">
        <v>41</v>
      </c>
      <c r="M219" t="s">
        <v>748</v>
      </c>
      <c r="P219" t="s">
        <v>559</v>
      </c>
    </row>
    <row r="220" spans="1:16">
      <c r="A220" t="s">
        <v>28</v>
      </c>
      <c r="B220" t="s">
        <v>29</v>
      </c>
      <c r="C220" t="s">
        <v>441</v>
      </c>
      <c r="E220" s="1">
        <v>2.688567293902307</v>
      </c>
      <c r="F220" s="1">
        <v>6.847046092095033</v>
      </c>
      <c r="G220" s="5">
        <v>0.184087441830483</v>
      </c>
      <c r="H220" s="1">
        <v>2.118005022453183</v>
      </c>
      <c r="I220" t="s">
        <v>86</v>
      </c>
      <c r="L220" t="s">
        <v>41</v>
      </c>
      <c r="M220" t="s">
        <v>749</v>
      </c>
      <c r="P220" t="s">
        <v>559</v>
      </c>
    </row>
    <row r="221" spans="1:16">
      <c r="A221" t="s">
        <v>28</v>
      </c>
      <c r="B221" t="s">
        <v>29</v>
      </c>
      <c r="C221" t="s">
        <v>271</v>
      </c>
      <c r="E221" s="1">
        <v>1.96436971945188</v>
      </c>
      <c r="F221" s="1">
        <v>19.65555670309582</v>
      </c>
      <c r="G221" s="5">
        <v>0.3861078040653086</v>
      </c>
      <c r="H221" s="1">
        <v>1.733004366326258</v>
      </c>
      <c r="I221" t="s">
        <v>86</v>
      </c>
      <c r="L221" t="s">
        <v>41</v>
      </c>
      <c r="M221" t="s">
        <v>750</v>
      </c>
      <c r="P221" t="s">
        <v>559</v>
      </c>
    </row>
    <row r="222" spans="1:16">
      <c r="A222" t="s">
        <v>28</v>
      </c>
      <c r="B222" t="s">
        <v>29</v>
      </c>
      <c r="C222" t="s">
        <v>416</v>
      </c>
      <c r="E222" s="1">
        <v>4.682661636021533</v>
      </c>
      <c r="F222" s="1">
        <v>22.29138013150271</v>
      </c>
      <c r="G222" s="5">
        <v>1.043829905557603</v>
      </c>
      <c r="H222" s="1">
        <v>4.222135606911474</v>
      </c>
      <c r="I222" t="s">
        <v>86</v>
      </c>
      <c r="L222" t="s">
        <v>41</v>
      </c>
      <c r="M222" t="s">
        <v>751</v>
      </c>
      <c r="P222" t="s">
        <v>559</v>
      </c>
    </row>
    <row r="223" spans="1:16">
      <c r="A223" t="s">
        <v>28</v>
      </c>
      <c r="B223" t="s">
        <v>29</v>
      </c>
      <c r="C223" t="s">
        <v>274</v>
      </c>
      <c r="E223" s="1">
        <v>4.839942347967193</v>
      </c>
      <c r="F223" s="1">
        <v>15.59031278640843</v>
      </c>
      <c r="G223" s="5">
        <v>0.7545621507299259</v>
      </c>
      <c r="H223" s="1">
        <v>4.124821712468973</v>
      </c>
      <c r="I223" t="s">
        <v>86</v>
      </c>
      <c r="L223" t="s">
        <v>41</v>
      </c>
      <c r="M223" t="s">
        <v>752</v>
      </c>
      <c r="P223" t="s">
        <v>559</v>
      </c>
    </row>
    <row r="224" spans="1:16">
      <c r="A224" t="s">
        <v>28</v>
      </c>
      <c r="B224" t="s">
        <v>29</v>
      </c>
      <c r="C224" t="s">
        <v>119</v>
      </c>
      <c r="E224" s="1">
        <v>7.220658172295122</v>
      </c>
      <c r="F224" s="1">
        <v>-2.222763077729084</v>
      </c>
      <c r="G224" s="5">
        <v>-0.1604981238228033</v>
      </c>
      <c r="H224" s="1">
        <v>5.205447858380789</v>
      </c>
      <c r="I224" t="s">
        <v>86</v>
      </c>
      <c r="J224" t="s">
        <v>50</v>
      </c>
      <c r="L224" t="s">
        <v>41</v>
      </c>
      <c r="M224" t="s">
        <v>753</v>
      </c>
      <c r="P224" t="s">
        <v>559</v>
      </c>
    </row>
    <row r="225" spans="1:16">
      <c r="A225" t="s">
        <v>28</v>
      </c>
      <c r="B225" t="s">
        <v>29</v>
      </c>
      <c r="C225" t="s">
        <v>433</v>
      </c>
      <c r="E225" s="1">
        <v>0.2745036439338701</v>
      </c>
      <c r="F225" s="1">
        <v>19.0375013279507</v>
      </c>
      <c r="G225" s="5">
        <v>0.05225863485918358</v>
      </c>
      <c r="H225" s="1">
        <v>0.2409214511661076</v>
      </c>
      <c r="I225" t="s">
        <v>296</v>
      </c>
      <c r="L225" t="s">
        <v>41</v>
      </c>
      <c r="M225" t="s">
        <v>754</v>
      </c>
      <c r="P225" t="s">
        <v>559</v>
      </c>
    </row>
    <row r="226" spans="1:16">
      <c r="A226" t="s">
        <v>28</v>
      </c>
      <c r="B226" t="s">
        <v>29</v>
      </c>
      <c r="G226" s="2">
        <v>-2.0674E-14</v>
      </c>
      <c r="I226" t="s">
        <v>57</v>
      </c>
      <c r="L226" t="s">
        <v>58</v>
      </c>
      <c r="M226" t="s">
        <v>755</v>
      </c>
      <c r="P226" t="s">
        <v>60</v>
      </c>
    </row>
    <row r="227" spans="1:16">
      <c r="A227" t="s">
        <v>28</v>
      </c>
      <c r="B227" t="s">
        <v>29</v>
      </c>
      <c r="C227" t="s">
        <v>61</v>
      </c>
      <c r="G227" s="6">
        <f>SUM(G199:G226)</f>
        <v>35.630213586818215</v>
      </c>
      <c r="I227" t="s">
        <v>64</v>
      </c>
      <c r="K227" s="1">
        <v>19.83424318272573</v>
      </c>
      <c r="L227" t="s">
        <v>62</v>
      </c>
      <c r="M227" t="s">
        <v>756</v>
      </c>
      <c r="N227" s="1">
        <v>35.63021358681821</v>
      </c>
      <c r="O227" s="2">
        <f>G227-N227</f>
        <v>0</v>
      </c>
    </row>
    <row r="228" spans="1:16">
      <c r="A228" t="s">
        <v>30</v>
      </c>
      <c r="B228" t="s">
        <v>31</v>
      </c>
      <c r="C228" t="s">
        <v>239</v>
      </c>
      <c r="E228" s="1">
        <v>2.887012261987021</v>
      </c>
      <c r="F228" s="1">
        <v>25.36418773937126</v>
      </c>
      <c r="G228" s="5">
        <v>0.7322672101890569</v>
      </c>
      <c r="H228" s="1">
        <v>3.206247556736516</v>
      </c>
      <c r="I228" t="s">
        <v>86</v>
      </c>
      <c r="L228" t="s">
        <v>41</v>
      </c>
      <c r="M228" t="s">
        <v>757</v>
      </c>
      <c r="P228" t="s">
        <v>559</v>
      </c>
    </row>
    <row r="229" spans="1:16">
      <c r="A229" t="s">
        <v>30</v>
      </c>
      <c r="B229" t="s">
        <v>31</v>
      </c>
      <c r="C229" t="s">
        <v>414</v>
      </c>
      <c r="E229" s="1">
        <v>0.6238481614321396</v>
      </c>
      <c r="F229" s="1">
        <v>-6.266345595418188</v>
      </c>
      <c r="G229" s="5">
        <v>-0.0390924817860002</v>
      </c>
      <c r="H229" s="1">
        <v>0.5180234031570865</v>
      </c>
      <c r="I229" t="s">
        <v>86</v>
      </c>
      <c r="L229" t="s">
        <v>41</v>
      </c>
      <c r="M229" t="s">
        <v>758</v>
      </c>
      <c r="P229" t="s">
        <v>559</v>
      </c>
    </row>
    <row r="230" spans="1:16">
      <c r="A230" t="s">
        <v>30</v>
      </c>
      <c r="B230" t="s">
        <v>31</v>
      </c>
      <c r="C230" t="s">
        <v>244</v>
      </c>
      <c r="E230" s="1">
        <v>3.957055554202189</v>
      </c>
      <c r="F230" s="1">
        <v>17.77301562723803</v>
      </c>
      <c r="G230" s="5">
        <v>0.7032881020268452</v>
      </c>
      <c r="H230" s="1">
        <v>4.128505570295989</v>
      </c>
      <c r="I230" t="s">
        <v>109</v>
      </c>
      <c r="L230" t="s">
        <v>41</v>
      </c>
      <c r="M230" t="s">
        <v>759</v>
      </c>
      <c r="P230" t="s">
        <v>559</v>
      </c>
    </row>
    <row r="231" spans="1:16">
      <c r="A231" t="s">
        <v>30</v>
      </c>
      <c r="B231" t="s">
        <v>31</v>
      </c>
      <c r="C231" t="s">
        <v>246</v>
      </c>
      <c r="E231" s="1">
        <v>2.260193610290107</v>
      </c>
      <c r="F231" s="1">
        <v>-17.91282263417235</v>
      </c>
      <c r="G231" s="5">
        <v>-0.4048644726001634</v>
      </c>
      <c r="H231" s="1">
        <v>1.643599108715373</v>
      </c>
      <c r="I231" t="s">
        <v>86</v>
      </c>
      <c r="J231" t="s">
        <v>53</v>
      </c>
      <c r="L231" t="s">
        <v>41</v>
      </c>
      <c r="M231" t="s">
        <v>760</v>
      </c>
      <c r="P231" t="s">
        <v>559</v>
      </c>
    </row>
    <row r="232" spans="1:16">
      <c r="A232" t="s">
        <v>30</v>
      </c>
      <c r="B232" t="s">
        <v>31</v>
      </c>
      <c r="C232" t="s">
        <v>350</v>
      </c>
      <c r="E232" s="1">
        <v>8.144803132674109</v>
      </c>
      <c r="F232" s="1">
        <v>17.09345313705686</v>
      </c>
      <c r="G232" s="5">
        <v>1.392228106589187</v>
      </c>
      <c r="H232" s="1">
        <v>8.448665913887778</v>
      </c>
      <c r="I232" t="s">
        <v>86</v>
      </c>
      <c r="L232" t="s">
        <v>41</v>
      </c>
      <c r="M232" t="s">
        <v>761</v>
      </c>
      <c r="P232" t="s">
        <v>559</v>
      </c>
    </row>
    <row r="233" spans="1:16">
      <c r="A233" t="s">
        <v>30</v>
      </c>
      <c r="B233" t="s">
        <v>31</v>
      </c>
      <c r="C233" t="s">
        <v>248</v>
      </c>
      <c r="E233" s="1">
        <v>3.088248113162921</v>
      </c>
      <c r="F233" s="1">
        <v>-20.66262111360266</v>
      </c>
      <c r="G233" s="5">
        <v>-0.6381130066708376</v>
      </c>
      <c r="H233" s="1">
        <v>2.170525862746203</v>
      </c>
      <c r="I233" t="s">
        <v>86</v>
      </c>
      <c r="J233" t="s">
        <v>50</v>
      </c>
      <c r="L233" t="s">
        <v>41</v>
      </c>
      <c r="M233" t="s">
        <v>762</v>
      </c>
      <c r="P233" t="s">
        <v>559</v>
      </c>
    </row>
    <row r="234" spans="1:16">
      <c r="A234" t="s">
        <v>30</v>
      </c>
      <c r="B234" t="s">
        <v>31</v>
      </c>
      <c r="C234" t="s">
        <v>250</v>
      </c>
      <c r="E234" s="1">
        <v>1.358933069008809</v>
      </c>
      <c r="F234" s="1">
        <v>5.952973740132661</v>
      </c>
      <c r="G234" s="5">
        <v>0.08089692874407323</v>
      </c>
      <c r="H234" s="1">
        <v>1.275516701017702</v>
      </c>
      <c r="I234" t="s">
        <v>109</v>
      </c>
      <c r="L234" t="s">
        <v>41</v>
      </c>
      <c r="M234" t="s">
        <v>763</v>
      </c>
      <c r="P234" t="s">
        <v>559</v>
      </c>
    </row>
    <row r="235" spans="1:16">
      <c r="A235" t="s">
        <v>30</v>
      </c>
      <c r="B235" t="s">
        <v>31</v>
      </c>
      <c r="C235" t="s">
        <v>252</v>
      </c>
      <c r="E235" s="1">
        <v>1.262702837761265</v>
      </c>
      <c r="F235" s="1">
        <v>-45.2612809136849</v>
      </c>
      <c r="G235" s="5">
        <v>-0.5715154785041973</v>
      </c>
      <c r="H235" s="1">
        <v>0.6123091070755879</v>
      </c>
      <c r="I235" t="s">
        <v>86</v>
      </c>
      <c r="J235" t="s">
        <v>45</v>
      </c>
      <c r="L235" t="s">
        <v>41</v>
      </c>
      <c r="M235" t="s">
        <v>764</v>
      </c>
      <c r="P235" t="s">
        <v>559</v>
      </c>
    </row>
    <row r="236" spans="1:16">
      <c r="A236" t="s">
        <v>30</v>
      </c>
      <c r="B236" t="s">
        <v>31</v>
      </c>
      <c r="C236" t="s">
        <v>254</v>
      </c>
      <c r="E236" s="1">
        <v>1.443556861330803</v>
      </c>
      <c r="F236" s="1">
        <v>5.621138629653255</v>
      </c>
      <c r="G236" s="5">
        <v>0.08114433237327588</v>
      </c>
      <c r="H236" s="1">
        <v>1.350702402135229</v>
      </c>
      <c r="I236" t="s">
        <v>86</v>
      </c>
      <c r="L236" t="s">
        <v>41</v>
      </c>
      <c r="M236" t="s">
        <v>765</v>
      </c>
      <c r="P236" t="s">
        <v>559</v>
      </c>
    </row>
    <row r="237" spans="1:16">
      <c r="A237" t="s">
        <v>30</v>
      </c>
      <c r="B237" t="s">
        <v>31</v>
      </c>
      <c r="C237" t="s">
        <v>256</v>
      </c>
      <c r="E237" s="1">
        <v>2.450292311294791</v>
      </c>
      <c r="F237" s="1">
        <v>15.02445872292599</v>
      </c>
      <c r="G237" s="5">
        <v>0.3681431569015149</v>
      </c>
      <c r="H237" s="1">
        <v>2.496795813419383</v>
      </c>
      <c r="I237" t="s">
        <v>86</v>
      </c>
      <c r="L237" t="s">
        <v>41</v>
      </c>
      <c r="M237" t="s">
        <v>766</v>
      </c>
      <c r="P237" t="s">
        <v>559</v>
      </c>
    </row>
    <row r="238" spans="1:16">
      <c r="A238" t="s">
        <v>30</v>
      </c>
      <c r="B238" t="s">
        <v>31</v>
      </c>
      <c r="C238" t="s">
        <v>141</v>
      </c>
      <c r="E238" s="1">
        <v>7.647199156858315</v>
      </c>
      <c r="F238" s="1">
        <v>17.66327216639616</v>
      </c>
      <c r="G238" s="5">
        <v>1.350745600182237</v>
      </c>
      <c r="H238" s="1">
        <v>7.971099942598708</v>
      </c>
      <c r="I238" t="s">
        <v>86</v>
      </c>
      <c r="L238" t="s">
        <v>41</v>
      </c>
      <c r="M238" t="s">
        <v>767</v>
      </c>
      <c r="P238" t="s">
        <v>559</v>
      </c>
    </row>
    <row r="239" spans="1:16">
      <c r="A239" t="s">
        <v>30</v>
      </c>
      <c r="B239" t="s">
        <v>31</v>
      </c>
      <c r="C239" t="s">
        <v>85</v>
      </c>
      <c r="D239" t="s">
        <v>768</v>
      </c>
      <c r="E239" s="1">
        <v>2.023385533724083</v>
      </c>
      <c r="F239" s="1">
        <v>16.97295039222546</v>
      </c>
      <c r="G239" s="5">
        <v>0.3434282228824552</v>
      </c>
      <c r="H239" s="1">
        <v>2.096713139371765</v>
      </c>
      <c r="I239" t="s">
        <v>484</v>
      </c>
      <c r="L239" t="s">
        <v>41</v>
      </c>
      <c r="M239" t="s">
        <v>769</v>
      </c>
      <c r="P239" t="s">
        <v>559</v>
      </c>
    </row>
    <row r="240" spans="1:16">
      <c r="A240" t="s">
        <v>30</v>
      </c>
      <c r="B240" t="s">
        <v>31</v>
      </c>
      <c r="C240" t="s">
        <v>260</v>
      </c>
      <c r="E240" s="1">
        <v>4.37422408755503</v>
      </c>
      <c r="F240" s="1">
        <v>-3.118834566133755</v>
      </c>
      <c r="G240" s="5">
        <v>-0.1364248128428153</v>
      </c>
      <c r="H240" s="1">
        <v>3.754181923485568</v>
      </c>
      <c r="I240" t="s">
        <v>86</v>
      </c>
      <c r="L240" t="s">
        <v>41</v>
      </c>
      <c r="M240" t="s">
        <v>770</v>
      </c>
      <c r="P240" t="s">
        <v>559</v>
      </c>
    </row>
    <row r="241" spans="1:16">
      <c r="A241" t="s">
        <v>30</v>
      </c>
      <c r="B241" t="s">
        <v>31</v>
      </c>
      <c r="C241" t="s">
        <v>379</v>
      </c>
      <c r="E241" s="1">
        <v>0.2543727820457923</v>
      </c>
      <c r="F241" s="1">
        <v>-27.43972445464982</v>
      </c>
      <c r="G241" s="5">
        <v>-0.06979919048099237</v>
      </c>
      <c r="H241" s="1">
        <v>0.1635100664489202</v>
      </c>
      <c r="I241" t="s">
        <v>296</v>
      </c>
      <c r="L241" t="s">
        <v>41</v>
      </c>
      <c r="M241" t="s">
        <v>771</v>
      </c>
      <c r="P241" t="s">
        <v>559</v>
      </c>
    </row>
    <row r="242" spans="1:16">
      <c r="A242" t="s">
        <v>30</v>
      </c>
      <c r="B242" t="s">
        <v>31</v>
      </c>
      <c r="C242" t="s">
        <v>264</v>
      </c>
      <c r="E242" s="1">
        <v>2.861980224350771</v>
      </c>
      <c r="F242" s="1">
        <v>22.55341877816106</v>
      </c>
      <c r="G242" s="5">
        <v>0.6454743853459826</v>
      </c>
      <c r="H242" s="1">
        <v>3.107184139594219</v>
      </c>
      <c r="I242" t="s">
        <v>86</v>
      </c>
      <c r="L242" t="s">
        <v>41</v>
      </c>
      <c r="M242" t="s">
        <v>772</v>
      </c>
      <c r="P242" t="s">
        <v>559</v>
      </c>
    </row>
    <row r="243" spans="1:16">
      <c r="A243" t="s">
        <v>30</v>
      </c>
      <c r="B243" t="s">
        <v>31</v>
      </c>
      <c r="C243" t="s">
        <v>266</v>
      </c>
      <c r="E243" s="1">
        <v>0.265289421377276</v>
      </c>
      <c r="F243" s="1">
        <v>-47.57894736842105</v>
      </c>
      <c r="G243" s="5">
        <v>-0.1262219141710829</v>
      </c>
      <c r="H243" s="1">
        <v>0.1231971331943614</v>
      </c>
      <c r="I243" t="s">
        <v>296</v>
      </c>
      <c r="L243" t="s">
        <v>41</v>
      </c>
      <c r="M243" t="s">
        <v>773</v>
      </c>
      <c r="P243" t="s">
        <v>559</v>
      </c>
    </row>
    <row r="244" spans="1:16">
      <c r="A244" t="s">
        <v>30</v>
      </c>
      <c r="B244" t="s">
        <v>31</v>
      </c>
      <c r="C244" t="s">
        <v>405</v>
      </c>
      <c r="E244" s="1">
        <v>2.200497665096392</v>
      </c>
      <c r="F244" s="1">
        <v>-8.213878000323415</v>
      </c>
      <c r="G244" s="5">
        <v>-0.1807461936109831</v>
      </c>
      <c r="H244" s="1">
        <v>1.789257577495532</v>
      </c>
      <c r="I244" t="s">
        <v>86</v>
      </c>
      <c r="L244" t="s">
        <v>41</v>
      </c>
      <c r="M244" t="s">
        <v>774</v>
      </c>
      <c r="P244" t="s">
        <v>559</v>
      </c>
    </row>
    <row r="245" spans="1:16">
      <c r="A245" t="s">
        <v>30</v>
      </c>
      <c r="B245" t="s">
        <v>31</v>
      </c>
      <c r="C245" t="s">
        <v>268</v>
      </c>
      <c r="E245" s="1">
        <v>16.29797471275663</v>
      </c>
      <c r="F245" s="1">
        <v>14.78145473671493</v>
      </c>
      <c r="G245" s="5">
        <v>2.409077755167366</v>
      </c>
      <c r="H245" s="1">
        <v>16.57220497342824</v>
      </c>
      <c r="I245" t="s">
        <v>86</v>
      </c>
      <c r="J245" t="s">
        <v>69</v>
      </c>
      <c r="L245" t="s">
        <v>41</v>
      </c>
      <c r="M245" t="s">
        <v>775</v>
      </c>
      <c r="P245" t="s">
        <v>559</v>
      </c>
    </row>
    <row r="246" spans="1:16">
      <c r="A246" t="s">
        <v>30</v>
      </c>
      <c r="B246" t="s">
        <v>31</v>
      </c>
      <c r="C246" t="s">
        <v>408</v>
      </c>
      <c r="E246" s="1">
        <v>3.581538626567324</v>
      </c>
      <c r="F246" s="1">
        <v>-5.817393929378101</v>
      </c>
      <c r="G246" s="5">
        <v>-0.2083522106402594</v>
      </c>
      <c r="H246" s="1">
        <v>2.988238622529007</v>
      </c>
      <c r="I246" t="s">
        <v>86</v>
      </c>
      <c r="L246" t="s">
        <v>41</v>
      </c>
      <c r="M246" t="s">
        <v>776</v>
      </c>
      <c r="P246" t="s">
        <v>559</v>
      </c>
    </row>
    <row r="247" spans="1:16">
      <c r="A247" t="s">
        <v>30</v>
      </c>
      <c r="B247" t="s">
        <v>31</v>
      </c>
      <c r="C247" t="s">
        <v>338</v>
      </c>
      <c r="E247" s="1">
        <v>6.881897736220132</v>
      </c>
      <c r="F247" s="1">
        <v>35.1293845647183</v>
      </c>
      <c r="G247" s="5">
        <v>2.417568321107414</v>
      </c>
      <c r="H247" s="1">
        <v>8.238211653584635</v>
      </c>
      <c r="I247" t="s">
        <v>86</v>
      </c>
      <c r="J247" t="s">
        <v>71</v>
      </c>
      <c r="L247" t="s">
        <v>41</v>
      </c>
      <c r="M247" t="s">
        <v>777</v>
      </c>
      <c r="P247" t="s">
        <v>559</v>
      </c>
    </row>
    <row r="248" spans="1:16">
      <c r="A248" t="s">
        <v>30</v>
      </c>
      <c r="B248" t="s">
        <v>31</v>
      </c>
      <c r="C248" t="s">
        <v>111</v>
      </c>
      <c r="E248" s="1">
        <v>8.490658122597321</v>
      </c>
      <c r="F248" s="1">
        <v>34.84552172589752</v>
      </c>
      <c r="G248" s="5">
        <v>2.958614120781331</v>
      </c>
      <c r="H248" s="1">
        <v>10.14268211088787</v>
      </c>
      <c r="I248" t="s">
        <v>86</v>
      </c>
      <c r="J248" t="s">
        <v>79</v>
      </c>
      <c r="L248" t="s">
        <v>41</v>
      </c>
      <c r="M248" t="s">
        <v>778</v>
      </c>
      <c r="P248" t="s">
        <v>559</v>
      </c>
    </row>
    <row r="249" spans="1:16">
      <c r="A249" t="s">
        <v>30</v>
      </c>
      <c r="B249" t="s">
        <v>31</v>
      </c>
      <c r="C249" t="s">
        <v>441</v>
      </c>
      <c r="E249" s="1">
        <v>2.118005022453183</v>
      </c>
      <c r="F249" s="1">
        <v>0.749037133186059</v>
      </c>
      <c r="G249" s="5">
        <v>0.01586464410092006</v>
      </c>
      <c r="H249" s="1">
        <v>1.890352612275532</v>
      </c>
      <c r="I249" t="s">
        <v>86</v>
      </c>
      <c r="L249" t="s">
        <v>41</v>
      </c>
      <c r="M249" t="s">
        <v>779</v>
      </c>
      <c r="P249" t="s">
        <v>559</v>
      </c>
    </row>
    <row r="250" spans="1:16">
      <c r="A250" t="s">
        <v>30</v>
      </c>
      <c r="B250" t="s">
        <v>31</v>
      </c>
      <c r="C250" t="s">
        <v>271</v>
      </c>
      <c r="E250" s="1">
        <v>1.733004366326258</v>
      </c>
      <c r="F250" s="1">
        <v>2.44808504953089</v>
      </c>
      <c r="G250" s="5">
        <v>0.04242542079975062</v>
      </c>
      <c r="H250" s="1">
        <v>1.572817866343829</v>
      </c>
      <c r="I250" t="s">
        <v>86</v>
      </c>
      <c r="L250" t="s">
        <v>41</v>
      </c>
      <c r="M250" t="s">
        <v>780</v>
      </c>
      <c r="P250" t="s">
        <v>559</v>
      </c>
    </row>
    <row r="251" spans="1:16">
      <c r="A251" t="s">
        <v>30</v>
      </c>
      <c r="B251" t="s">
        <v>31</v>
      </c>
      <c r="C251" t="s">
        <v>416</v>
      </c>
      <c r="E251" s="1">
        <v>4.222135606911474</v>
      </c>
      <c r="F251" s="1">
        <v>16.37554067198865</v>
      </c>
      <c r="G251" s="5">
        <v>0.6913975335363036</v>
      </c>
      <c r="H251" s="1">
        <v>4.352801088619043</v>
      </c>
      <c r="I251" t="s">
        <v>86</v>
      </c>
      <c r="L251" t="s">
        <v>41</v>
      </c>
      <c r="M251" t="s">
        <v>781</v>
      </c>
      <c r="P251" t="s">
        <v>559</v>
      </c>
    </row>
    <row r="252" spans="1:16">
      <c r="A252" t="s">
        <v>30</v>
      </c>
      <c r="B252" t="s">
        <v>31</v>
      </c>
      <c r="C252" t="s">
        <v>274</v>
      </c>
      <c r="E252" s="1">
        <v>4.124821712468972</v>
      </c>
      <c r="F252" s="1">
        <v>12.09624276072283</v>
      </c>
      <c r="G252" s="5">
        <v>0.4989484477872514</v>
      </c>
      <c r="H252" s="1">
        <v>4.096105839077213</v>
      </c>
      <c r="I252" t="s">
        <v>86</v>
      </c>
      <c r="L252" t="s">
        <v>41</v>
      </c>
      <c r="M252" t="s">
        <v>782</v>
      </c>
      <c r="P252" t="s">
        <v>559</v>
      </c>
    </row>
    <row r="253" spans="1:16">
      <c r="A253" t="s">
        <v>30</v>
      </c>
      <c r="B253" t="s">
        <v>31</v>
      </c>
      <c r="C253" t="s">
        <v>119</v>
      </c>
      <c r="E253" s="1">
        <v>5.205447858380789</v>
      </c>
      <c r="F253" s="1">
        <v>10.46065852346718</v>
      </c>
      <c r="G253" s="5">
        <v>0.5445241250823502</v>
      </c>
      <c r="H253" s="1">
        <v>5.093785590477664</v>
      </c>
      <c r="I253" t="s">
        <v>86</v>
      </c>
      <c r="L253" t="s">
        <v>41</v>
      </c>
      <c r="M253" t="s">
        <v>783</v>
      </c>
      <c r="P253" t="s">
        <v>559</v>
      </c>
    </row>
    <row r="254" spans="1:16">
      <c r="A254" t="s">
        <v>30</v>
      </c>
      <c r="B254" t="s">
        <v>31</v>
      </c>
      <c r="C254" t="s">
        <v>433</v>
      </c>
      <c r="E254" s="1">
        <v>0.2409214511661076</v>
      </c>
      <c r="F254" s="1">
        <v>-7.807442791840947</v>
      </c>
      <c r="G254" s="5">
        <v>-0.01880980447306688</v>
      </c>
      <c r="H254" s="1">
        <v>0.1967642814010468</v>
      </c>
      <c r="I254" t="s">
        <v>86</v>
      </c>
      <c r="L254" t="s">
        <v>41</v>
      </c>
      <c r="M254" t="s">
        <v>784</v>
      </c>
      <c r="P254" t="s">
        <v>559</v>
      </c>
    </row>
    <row r="255" spans="1:16">
      <c r="A255" t="s">
        <v>30</v>
      </c>
      <c r="B255" t="s">
        <v>31</v>
      </c>
      <c r="G255" s="2">
        <v>-3.496E-15</v>
      </c>
      <c r="I255" t="s">
        <v>57</v>
      </c>
      <c r="L255" t="s">
        <v>58</v>
      </c>
      <c r="M255" t="s">
        <v>785</v>
      </c>
      <c r="P255" t="s">
        <v>60</v>
      </c>
    </row>
    <row r="256" spans="1:16">
      <c r="A256" t="s">
        <v>30</v>
      </c>
      <c r="B256" t="s">
        <v>31</v>
      </c>
      <c r="C256" t="s">
        <v>61</v>
      </c>
      <c r="G256" s="6">
        <f>SUM(G228:G255)</f>
        <v>12.882096847816914</v>
      </c>
      <c r="I256" t="s">
        <v>64</v>
      </c>
      <c r="K256" s="1">
        <v>4.928188538958578</v>
      </c>
      <c r="L256" t="s">
        <v>62</v>
      </c>
      <c r="M256" t="s">
        <v>786</v>
      </c>
      <c r="N256" s="1">
        <v>12.88209684781691</v>
      </c>
      <c r="O256" s="2">
        <f>G256-N256</f>
        <v>0</v>
      </c>
    </row>
    <row r="257" spans="1:16">
      <c r="A257" t="s">
        <v>32</v>
      </c>
      <c r="B257" t="s">
        <v>33</v>
      </c>
      <c r="C257" t="s">
        <v>239</v>
      </c>
      <c r="E257" s="1">
        <v>3.092973473693593</v>
      </c>
      <c r="F257" s="1">
        <v>9.559348680455916</v>
      </c>
      <c r="G257" s="5">
        <v>0.2956681189443798</v>
      </c>
      <c r="H257" s="1">
        <v>2.414828935482054</v>
      </c>
      <c r="I257" t="s">
        <v>86</v>
      </c>
      <c r="L257" t="s">
        <v>41</v>
      </c>
      <c r="M257" t="s">
        <v>787</v>
      </c>
      <c r="P257" t="s">
        <v>559</v>
      </c>
    </row>
    <row r="258" spans="1:16">
      <c r="A258" t="s">
        <v>32</v>
      </c>
      <c r="B258" t="s">
        <v>33</v>
      </c>
      <c r="C258" t="s">
        <v>414</v>
      </c>
      <c r="D258" t="s">
        <v>502</v>
      </c>
      <c r="E258" s="1">
        <v>0.4997220633668678</v>
      </c>
      <c r="F258" s="1">
        <v>-28.92936656474135</v>
      </c>
      <c r="G258" s="5">
        <v>-0.1445664275162902</v>
      </c>
      <c r="H258" s="1">
        <v>0.2530925984957443</v>
      </c>
      <c r="I258" t="s">
        <v>293</v>
      </c>
      <c r="J258" t="s">
        <v>45</v>
      </c>
      <c r="L258" t="s">
        <v>41</v>
      </c>
      <c r="M258" t="s">
        <v>788</v>
      </c>
      <c r="P258" t="s">
        <v>559</v>
      </c>
    </row>
    <row r="259" spans="1:16">
      <c r="A259" t="s">
        <v>32</v>
      </c>
      <c r="B259" t="s">
        <v>33</v>
      </c>
      <c r="C259" t="s">
        <v>244</v>
      </c>
      <c r="E259" s="1">
        <v>3.982648871916505</v>
      </c>
      <c r="F259" s="1">
        <v>-12.75671766999289</v>
      </c>
      <c r="G259" s="5">
        <v>-0.5080552723775453</v>
      </c>
      <c r="H259" s="1">
        <v>2.476080439264038</v>
      </c>
      <c r="I259" t="s">
        <v>86</v>
      </c>
      <c r="J259" t="s">
        <v>50</v>
      </c>
      <c r="L259" t="s">
        <v>41</v>
      </c>
      <c r="M259" t="s">
        <v>789</v>
      </c>
      <c r="P259" t="s">
        <v>559</v>
      </c>
    </row>
    <row r="260" spans="1:16">
      <c r="A260" t="s">
        <v>32</v>
      </c>
      <c r="B260" t="s">
        <v>33</v>
      </c>
      <c r="C260" t="s">
        <v>246</v>
      </c>
      <c r="E260" s="1">
        <v>1.585532107139425</v>
      </c>
      <c r="F260" s="1">
        <v>46.43465611901634</v>
      </c>
      <c r="G260" s="5">
        <v>0.7362363816067858</v>
      </c>
      <c r="H260" s="1">
        <v>1.654549050066441</v>
      </c>
      <c r="I260" t="s">
        <v>86</v>
      </c>
      <c r="L260" t="s">
        <v>41</v>
      </c>
      <c r="M260" t="s">
        <v>790</v>
      </c>
      <c r="P260" t="s">
        <v>559</v>
      </c>
    </row>
    <row r="261" spans="1:16">
      <c r="A261" t="s">
        <v>32</v>
      </c>
      <c r="B261" t="s">
        <v>33</v>
      </c>
      <c r="C261" t="s">
        <v>350</v>
      </c>
      <c r="E261" s="1">
        <v>8.150181511982851</v>
      </c>
      <c r="F261" s="1">
        <v>19.8386706863974</v>
      </c>
      <c r="G261" s="5">
        <v>1.616887670505921</v>
      </c>
      <c r="H261" s="1">
        <v>6.960252547206674</v>
      </c>
      <c r="I261" t="s">
        <v>86</v>
      </c>
      <c r="L261" t="s">
        <v>41</v>
      </c>
      <c r="M261" t="s">
        <v>791</v>
      </c>
      <c r="P261" t="s">
        <v>559</v>
      </c>
    </row>
    <row r="262" spans="1:16">
      <c r="A262" t="s">
        <v>32</v>
      </c>
      <c r="B262" t="s">
        <v>33</v>
      </c>
      <c r="C262" t="s">
        <v>507</v>
      </c>
      <c r="E262" s="1">
        <v>3.333333333333334</v>
      </c>
      <c r="F262" s="1">
        <v>18.77388676257585</v>
      </c>
      <c r="G262" s="5">
        <v>0.6257962254191949</v>
      </c>
      <c r="H262" s="1">
        <v>2.821372622755066</v>
      </c>
      <c r="I262" t="s">
        <v>86</v>
      </c>
      <c r="L262" t="s">
        <v>41</v>
      </c>
      <c r="M262" t="s">
        <v>792</v>
      </c>
      <c r="P262" t="s">
        <v>559</v>
      </c>
    </row>
    <row r="263" spans="1:16">
      <c r="A263" t="s">
        <v>32</v>
      </c>
      <c r="B263" t="s">
        <v>33</v>
      </c>
      <c r="C263" t="s">
        <v>248</v>
      </c>
      <c r="E263" s="1">
        <v>2.093842973333329</v>
      </c>
      <c r="F263" s="1">
        <v>12.63364531066964</v>
      </c>
      <c r="G263" s="5">
        <v>0.2645286946133121</v>
      </c>
      <c r="H263" s="1">
        <v>1.680633371422783</v>
      </c>
      <c r="I263" t="s">
        <v>86</v>
      </c>
      <c r="L263" t="s">
        <v>41</v>
      </c>
      <c r="M263" t="s">
        <v>793</v>
      </c>
      <c r="P263" t="s">
        <v>559</v>
      </c>
    </row>
    <row r="264" spans="1:16">
      <c r="A264" t="s">
        <v>32</v>
      </c>
      <c r="B264" t="s">
        <v>33</v>
      </c>
      <c r="C264" t="s">
        <v>250</v>
      </c>
      <c r="E264" s="1">
        <v>1.230453747469357</v>
      </c>
      <c r="F264" s="1">
        <v>21.73373205018179</v>
      </c>
      <c r="G264" s="5">
        <v>0.2674235204764103</v>
      </c>
      <c r="H264" s="1">
        <v>1.067424001492116</v>
      </c>
      <c r="I264" t="s">
        <v>86</v>
      </c>
      <c r="L264" t="s">
        <v>41</v>
      </c>
      <c r="M264" t="s">
        <v>794</v>
      </c>
      <c r="P264" t="s">
        <v>559</v>
      </c>
    </row>
    <row r="265" spans="1:16">
      <c r="A265" t="s">
        <v>32</v>
      </c>
      <c r="B265" t="s">
        <v>33</v>
      </c>
      <c r="C265" t="s">
        <v>252</v>
      </c>
      <c r="E265" s="1">
        <v>0.5906767310923015</v>
      </c>
      <c r="F265" s="1">
        <v>-7.409743285117343</v>
      </c>
      <c r="G265" s="5">
        <v>-0.04376762941886242</v>
      </c>
      <c r="H265" s="1">
        <v>0.3897408113825905</v>
      </c>
      <c r="I265" t="s">
        <v>86</v>
      </c>
      <c r="L265" t="s">
        <v>41</v>
      </c>
      <c r="M265" t="s">
        <v>795</v>
      </c>
      <c r="P265" t="s">
        <v>559</v>
      </c>
    </row>
    <row r="266" spans="1:16">
      <c r="A266" t="s">
        <v>32</v>
      </c>
      <c r="B266" t="s">
        <v>33</v>
      </c>
      <c r="C266" t="s">
        <v>254</v>
      </c>
      <c r="E266" s="1">
        <v>1.302983199747291</v>
      </c>
      <c r="F266" s="1">
        <v>33.97350344495382</v>
      </c>
      <c r="G266" s="5">
        <v>0.4426690422533157</v>
      </c>
      <c r="H266" s="1">
        <v>1.243994512264297</v>
      </c>
      <c r="I266" t="s">
        <v>86</v>
      </c>
      <c r="L266" t="s">
        <v>41</v>
      </c>
      <c r="M266" t="s">
        <v>796</v>
      </c>
      <c r="P266" t="s">
        <v>559</v>
      </c>
    </row>
    <row r="267" spans="1:16">
      <c r="A267" t="s">
        <v>32</v>
      </c>
      <c r="B267" t="s">
        <v>33</v>
      </c>
      <c r="C267" t="s">
        <v>256</v>
      </c>
      <c r="E267" s="1">
        <v>2.408586075616616</v>
      </c>
      <c r="F267" s="1">
        <v>44.75017721098673</v>
      </c>
      <c r="G267" s="5">
        <v>1.077846537117586</v>
      </c>
      <c r="H267" s="1">
        <v>2.484517209825298</v>
      </c>
      <c r="I267" t="s">
        <v>86</v>
      </c>
      <c r="L267" t="s">
        <v>41</v>
      </c>
      <c r="M267" t="s">
        <v>797</v>
      </c>
      <c r="P267" t="s">
        <v>559</v>
      </c>
    </row>
    <row r="268" spans="1:16">
      <c r="A268" t="s">
        <v>32</v>
      </c>
      <c r="B268" t="s">
        <v>33</v>
      </c>
      <c r="C268" t="s">
        <v>141</v>
      </c>
      <c r="E268" s="1">
        <v>7.689487552768022</v>
      </c>
      <c r="F268" s="1">
        <v>43.66617343116956</v>
      </c>
      <c r="G268" s="5">
        <v>3.35770497075988</v>
      </c>
      <c r="H268" s="1">
        <v>7.872499770885698</v>
      </c>
      <c r="I268" t="s">
        <v>86</v>
      </c>
      <c r="L268" t="s">
        <v>41</v>
      </c>
      <c r="M268" t="s">
        <v>798</v>
      </c>
      <c r="P268" t="s">
        <v>559</v>
      </c>
    </row>
    <row r="269" spans="1:16">
      <c r="A269" t="s">
        <v>32</v>
      </c>
      <c r="B269" t="s">
        <v>33</v>
      </c>
      <c r="C269" t="s">
        <v>513</v>
      </c>
      <c r="E269" s="1">
        <v>2.222222222222223</v>
      </c>
      <c r="F269" s="1">
        <v>17.36939190640592</v>
      </c>
      <c r="G269" s="5">
        <v>0.3859864868090207</v>
      </c>
      <c r="H269" s="1">
        <v>1.858673361629198</v>
      </c>
      <c r="I269" t="s">
        <v>86</v>
      </c>
      <c r="L269" t="s">
        <v>41</v>
      </c>
      <c r="M269" t="s">
        <v>799</v>
      </c>
      <c r="P269" t="s">
        <v>559</v>
      </c>
    </row>
    <row r="270" spans="1:16">
      <c r="A270" t="s">
        <v>32</v>
      </c>
      <c r="B270" t="s">
        <v>33</v>
      </c>
      <c r="C270" t="s">
        <v>260</v>
      </c>
      <c r="E270" s="1">
        <v>3.621549770966445</v>
      </c>
      <c r="F270" s="1">
        <v>19.84880358259695</v>
      </c>
      <c r="G270" s="5">
        <v>0.7188343006851197</v>
      </c>
      <c r="H270" s="1">
        <v>3.093063919802209</v>
      </c>
      <c r="I270" t="s">
        <v>86</v>
      </c>
      <c r="L270" t="s">
        <v>41</v>
      </c>
      <c r="M270" t="s">
        <v>800</v>
      </c>
      <c r="P270" t="s">
        <v>559</v>
      </c>
    </row>
    <row r="271" spans="1:16">
      <c r="A271" t="s">
        <v>32</v>
      </c>
      <c r="B271" t="s">
        <v>33</v>
      </c>
      <c r="C271" t="s">
        <v>379</v>
      </c>
      <c r="E271" s="1">
        <v>0.1577333905941897</v>
      </c>
      <c r="F271" s="1">
        <v>43.16455696202532</v>
      </c>
      <c r="G271" s="5">
        <v>0.0680849192311629</v>
      </c>
      <c r="H271" s="1">
        <v>0.1609236544557079</v>
      </c>
      <c r="I271" t="s">
        <v>296</v>
      </c>
      <c r="L271" t="s">
        <v>41</v>
      </c>
      <c r="M271" t="s">
        <v>801</v>
      </c>
      <c r="P271" t="s">
        <v>559</v>
      </c>
    </row>
    <row r="272" spans="1:16">
      <c r="A272" t="s">
        <v>32</v>
      </c>
      <c r="B272" t="s">
        <v>33</v>
      </c>
      <c r="C272" t="s">
        <v>264</v>
      </c>
      <c r="E272" s="1">
        <v>2.997409885413953</v>
      </c>
      <c r="F272" s="1">
        <v>35.73047978960442</v>
      </c>
      <c r="G272" s="5">
        <v>1.070988933319438</v>
      </c>
      <c r="H272" s="1">
        <v>2.899240571768548</v>
      </c>
      <c r="I272" t="s">
        <v>109</v>
      </c>
      <c r="L272" t="s">
        <v>41</v>
      </c>
      <c r="M272" t="s">
        <v>802</v>
      </c>
      <c r="P272" t="s">
        <v>559</v>
      </c>
    </row>
    <row r="273" spans="1:16">
      <c r="A273" t="s">
        <v>32</v>
      </c>
      <c r="B273" t="s">
        <v>33</v>
      </c>
      <c r="C273" t="s">
        <v>266</v>
      </c>
      <c r="E273" s="1">
        <v>0.1188446800387129</v>
      </c>
      <c r="F273" s="1">
        <v>29.71887550200803</v>
      </c>
      <c r="G273" s="5">
        <v>0.03531930250146487</v>
      </c>
      <c r="H273" s="1">
        <v>0.1098610271018249</v>
      </c>
      <c r="I273" t="s">
        <v>296</v>
      </c>
      <c r="L273" t="s">
        <v>41</v>
      </c>
      <c r="M273" t="s">
        <v>803</v>
      </c>
      <c r="P273" t="s">
        <v>559</v>
      </c>
    </row>
    <row r="274" spans="1:16">
      <c r="A274" t="s">
        <v>32</v>
      </c>
      <c r="B274" t="s">
        <v>33</v>
      </c>
      <c r="C274" t="s">
        <v>405</v>
      </c>
      <c r="E274" s="1">
        <v>1.726044582294157</v>
      </c>
      <c r="F274" s="1">
        <v>44.37398521083171</v>
      </c>
      <c r="G274" s="5">
        <v>0.7659147676795712</v>
      </c>
      <c r="H274" s="1">
        <v>1.775831223176663</v>
      </c>
      <c r="I274" t="s">
        <v>86</v>
      </c>
      <c r="L274" t="s">
        <v>41</v>
      </c>
      <c r="M274" t="s">
        <v>804</v>
      </c>
      <c r="P274" t="s">
        <v>559</v>
      </c>
    </row>
    <row r="275" spans="1:16">
      <c r="A275" t="s">
        <v>32</v>
      </c>
      <c r="B275" t="s">
        <v>33</v>
      </c>
      <c r="C275" t="s">
        <v>268</v>
      </c>
      <c r="E275" s="1">
        <v>15.98672263335742</v>
      </c>
      <c r="F275" s="1">
        <v>90.83203878634987</v>
      </c>
      <c r="G275" s="5">
        <v>14.52106610299738</v>
      </c>
      <c r="H275" s="1">
        <v>21.74059692774176</v>
      </c>
      <c r="I275" t="s">
        <v>86</v>
      </c>
      <c r="J275" t="s">
        <v>79</v>
      </c>
      <c r="L275" t="s">
        <v>41</v>
      </c>
      <c r="M275" t="s">
        <v>805</v>
      </c>
      <c r="P275" t="s">
        <v>559</v>
      </c>
    </row>
    <row r="276" spans="1:16">
      <c r="A276" t="s">
        <v>32</v>
      </c>
      <c r="B276" t="s">
        <v>33</v>
      </c>
      <c r="C276" t="s">
        <v>408</v>
      </c>
      <c r="E276" s="1">
        <v>2.882666615411457</v>
      </c>
      <c r="F276" s="1">
        <v>13.27147632280443</v>
      </c>
      <c r="G276" s="5">
        <v>0.3825724173297194</v>
      </c>
      <c r="H276" s="1">
        <v>2.326889251037775</v>
      </c>
      <c r="I276" t="s">
        <v>86</v>
      </c>
      <c r="L276" t="s">
        <v>41</v>
      </c>
      <c r="M276" t="s">
        <v>806</v>
      </c>
      <c r="P276" t="s">
        <v>559</v>
      </c>
    </row>
    <row r="277" spans="1:16">
      <c r="A277" t="s">
        <v>32</v>
      </c>
      <c r="B277" t="s">
        <v>33</v>
      </c>
      <c r="C277" t="s">
        <v>338</v>
      </c>
      <c r="E277" s="1">
        <v>7.947162427203887</v>
      </c>
      <c r="F277" s="1">
        <v>43.16217396460424</v>
      </c>
      <c r="G277" s="5">
        <v>3.430168072079407</v>
      </c>
      <c r="H277" s="1">
        <v>8.107764172493592</v>
      </c>
      <c r="I277" t="s">
        <v>86</v>
      </c>
      <c r="J277" t="s">
        <v>69</v>
      </c>
      <c r="L277" t="s">
        <v>41</v>
      </c>
      <c r="M277" t="s">
        <v>807</v>
      </c>
      <c r="P277" t="s">
        <v>559</v>
      </c>
    </row>
    <row r="278" spans="1:16">
      <c r="A278" t="s">
        <v>32</v>
      </c>
      <c r="B278" t="s">
        <v>33</v>
      </c>
      <c r="C278" t="s">
        <v>111</v>
      </c>
      <c r="E278" s="1">
        <v>9.784349513240267</v>
      </c>
      <c r="F278" s="1">
        <v>64.10845462497934</v>
      </c>
      <c r="G278" s="5">
        <v>6.272595268045024</v>
      </c>
      <c r="H278" s="1">
        <v>11.4425718428074</v>
      </c>
      <c r="I278" t="s">
        <v>86</v>
      </c>
      <c r="J278" t="s">
        <v>71</v>
      </c>
      <c r="L278" t="s">
        <v>41</v>
      </c>
      <c r="M278" t="s">
        <v>808</v>
      </c>
      <c r="P278" t="s">
        <v>559</v>
      </c>
    </row>
    <row r="279" spans="1:16">
      <c r="A279" t="s">
        <v>32</v>
      </c>
      <c r="B279" t="s">
        <v>33</v>
      </c>
      <c r="C279" t="s">
        <v>441</v>
      </c>
      <c r="E279" s="1">
        <v>1.823568012835165</v>
      </c>
      <c r="F279" s="1">
        <v>7.552668076586788</v>
      </c>
      <c r="G279" s="5">
        <v>0.1377280391602494</v>
      </c>
      <c r="H279" s="1">
        <v>1.39766756912118</v>
      </c>
      <c r="I279" t="s">
        <v>86</v>
      </c>
      <c r="L279" t="s">
        <v>41</v>
      </c>
      <c r="M279" t="s">
        <v>809</v>
      </c>
      <c r="P279" t="s">
        <v>559</v>
      </c>
    </row>
    <row r="280" spans="1:16">
      <c r="A280" t="s">
        <v>32</v>
      </c>
      <c r="B280" t="s">
        <v>33</v>
      </c>
      <c r="C280" t="s">
        <v>271</v>
      </c>
      <c r="E280" s="1">
        <v>1.517251507710884</v>
      </c>
      <c r="F280" s="1">
        <v>8.260846981202086</v>
      </c>
      <c r="G280" s="5">
        <v>0.1253378253719776</v>
      </c>
      <c r="H280" s="1">
        <v>1.170549360918039</v>
      </c>
      <c r="I280" t="s">
        <v>86</v>
      </c>
      <c r="L280" t="s">
        <v>41</v>
      </c>
      <c r="M280" t="s">
        <v>810</v>
      </c>
      <c r="P280" t="s">
        <v>559</v>
      </c>
    </row>
    <row r="281" spans="1:16">
      <c r="A281" t="s">
        <v>32</v>
      </c>
      <c r="B281" t="s">
        <v>33</v>
      </c>
      <c r="C281" t="s">
        <v>416</v>
      </c>
      <c r="E281" s="1">
        <v>4.199020214479861</v>
      </c>
      <c r="F281" s="1">
        <v>52.90517112597639</v>
      </c>
      <c r="G281" s="5">
        <v>2.221498830084911</v>
      </c>
      <c r="H281" s="1">
        <v>4.575419012536753</v>
      </c>
      <c r="I281" t="s">
        <v>86</v>
      </c>
      <c r="L281" t="s">
        <v>41</v>
      </c>
      <c r="M281" t="s">
        <v>811</v>
      </c>
      <c r="P281" t="s">
        <v>559</v>
      </c>
    </row>
    <row r="282" spans="1:16">
      <c r="A282" t="s">
        <v>32</v>
      </c>
      <c r="B282" t="s">
        <v>33</v>
      </c>
      <c r="C282" t="s">
        <v>274</v>
      </c>
      <c r="E282" s="1">
        <v>3.9513937964923</v>
      </c>
      <c r="F282" s="1">
        <v>-2.2556734839566</v>
      </c>
      <c r="G282" s="5">
        <v>-0.08913054211418268</v>
      </c>
      <c r="H282" s="1">
        <v>2.752343323467489</v>
      </c>
      <c r="I282" t="s">
        <v>86</v>
      </c>
      <c r="J282" t="s">
        <v>53</v>
      </c>
      <c r="L282" t="s">
        <v>41</v>
      </c>
      <c r="M282" t="s">
        <v>812</v>
      </c>
      <c r="P282" t="s">
        <v>559</v>
      </c>
    </row>
    <row r="283" spans="1:16">
      <c r="A283" t="s">
        <v>32</v>
      </c>
      <c r="B283" t="s">
        <v>33</v>
      </c>
      <c r="C283" t="s">
        <v>119</v>
      </c>
      <c r="E283" s="1">
        <v>4.913826344733737</v>
      </c>
      <c r="F283" s="1">
        <v>45.94157960750553</v>
      </c>
      <c r="G283" s="5">
        <v>2.25748944194043</v>
      </c>
      <c r="H283" s="1">
        <v>5.110455146617847</v>
      </c>
      <c r="I283" t="s">
        <v>109</v>
      </c>
      <c r="L283" t="s">
        <v>41</v>
      </c>
      <c r="M283" t="s">
        <v>813</v>
      </c>
      <c r="P283" t="s">
        <v>559</v>
      </c>
    </row>
    <row r="284" spans="1:16">
      <c r="A284" t="s">
        <v>32</v>
      </c>
      <c r="B284" t="s">
        <v>33</v>
      </c>
      <c r="C284" t="s">
        <v>433</v>
      </c>
      <c r="E284" s="1">
        <v>0.1898127615458585</v>
      </c>
      <c r="F284" s="1">
        <v>17.66791592499786</v>
      </c>
      <c r="G284" s="5">
        <v>0.03353595912483892</v>
      </c>
      <c r="H284" s="1">
        <v>0.1591637647812228</v>
      </c>
      <c r="I284" t="s">
        <v>86</v>
      </c>
      <c r="L284" t="s">
        <v>41</v>
      </c>
      <c r="M284" t="s">
        <v>814</v>
      </c>
      <c r="P284" t="s">
        <v>559</v>
      </c>
    </row>
    <row r="285" spans="1:16">
      <c r="A285" t="s">
        <v>32</v>
      </c>
      <c r="B285" t="s">
        <v>33</v>
      </c>
      <c r="G285" s="2">
        <v>-2.0166E-14</v>
      </c>
      <c r="I285" t="s">
        <v>57</v>
      </c>
      <c r="L285" t="s">
        <v>58</v>
      </c>
      <c r="M285" t="s">
        <v>815</v>
      </c>
      <c r="P285" t="s">
        <v>60</v>
      </c>
    </row>
    <row r="286" spans="1:16">
      <c r="A286" t="s">
        <v>32</v>
      </c>
      <c r="B286" t="s">
        <v>33</v>
      </c>
      <c r="C286" t="s">
        <v>61</v>
      </c>
      <c r="G286" s="6">
        <f>SUM(G257:G285)</f>
        <v>40.3263619566296</v>
      </c>
      <c r="I286" t="s">
        <v>64</v>
      </c>
      <c r="K286" s="1">
        <v>12.06397079089039</v>
      </c>
      <c r="L286" t="s">
        <v>62</v>
      </c>
      <c r="M286" t="s">
        <v>816</v>
      </c>
      <c r="N286" s="1">
        <v>40.3263619566296</v>
      </c>
      <c r="O286" s="2">
        <f>G286-N286</f>
        <v>0</v>
      </c>
    </row>
    <row r="287" spans="1:16">
      <c r="A287" t="s">
        <v>34</v>
      </c>
      <c r="B287" t="s">
        <v>35</v>
      </c>
      <c r="C287" t="s">
        <v>239</v>
      </c>
      <c r="E287" s="1">
        <v>2.414828935482054</v>
      </c>
      <c r="F287" s="1">
        <v>24.46009969429954</v>
      </c>
      <c r="G287" s="5">
        <v>0.5906695650657026</v>
      </c>
      <c r="H287" s="1">
        <v>2.389964123086216</v>
      </c>
      <c r="I287" t="s">
        <v>86</v>
      </c>
      <c r="L287" t="s">
        <v>41</v>
      </c>
      <c r="M287" t="s">
        <v>817</v>
      </c>
      <c r="P287" t="s">
        <v>559</v>
      </c>
    </row>
    <row r="288" spans="1:16">
      <c r="A288" t="s">
        <v>34</v>
      </c>
      <c r="B288" t="s">
        <v>35</v>
      </c>
      <c r="C288" t="s">
        <v>502</v>
      </c>
      <c r="E288" s="1">
        <v>0.2530925984957443</v>
      </c>
      <c r="F288" s="1">
        <v>14.06096361848574</v>
      </c>
      <c r="G288" s="5">
        <v>0.0355872581955668</v>
      </c>
      <c r="H288" s="1">
        <v>0.2295574263052077</v>
      </c>
      <c r="I288" t="s">
        <v>296</v>
      </c>
      <c r="L288" t="s">
        <v>41</v>
      </c>
      <c r="M288" t="s">
        <v>818</v>
      </c>
      <c r="P288" t="s">
        <v>559</v>
      </c>
    </row>
    <row r="289" spans="1:16">
      <c r="A289" t="s">
        <v>34</v>
      </c>
      <c r="B289" t="s">
        <v>35</v>
      </c>
      <c r="C289" t="s">
        <v>244</v>
      </c>
      <c r="E289" s="1">
        <v>2.476080439264038</v>
      </c>
      <c r="F289" s="1">
        <v>-8.132750008560008</v>
      </c>
      <c r="G289" s="5">
        <v>-0.2013734321361988</v>
      </c>
      <c r="H289" s="1">
        <v>1.80884074191937</v>
      </c>
      <c r="I289" t="s">
        <v>86</v>
      </c>
      <c r="J289" t="s">
        <v>50</v>
      </c>
      <c r="L289" t="s">
        <v>41</v>
      </c>
      <c r="M289" t="s">
        <v>819</v>
      </c>
      <c r="P289" t="s">
        <v>559</v>
      </c>
    </row>
    <row r="290" spans="1:16">
      <c r="A290" t="s">
        <v>34</v>
      </c>
      <c r="B290" t="s">
        <v>35</v>
      </c>
      <c r="C290" t="s">
        <v>246</v>
      </c>
      <c r="E290" s="1">
        <v>1.654549050066441</v>
      </c>
      <c r="F290" s="1">
        <v>16.87478780970304</v>
      </c>
      <c r="G290" s="5">
        <v>0.2792016414061692</v>
      </c>
      <c r="H290" s="1">
        <v>1.537713219544248</v>
      </c>
      <c r="I290" t="s">
        <v>86</v>
      </c>
      <c r="L290" t="s">
        <v>41</v>
      </c>
      <c r="M290" t="s">
        <v>820</v>
      </c>
      <c r="P290" t="s">
        <v>559</v>
      </c>
    </row>
    <row r="291" spans="1:16">
      <c r="A291" t="s">
        <v>34</v>
      </c>
      <c r="B291" t="s">
        <v>35</v>
      </c>
      <c r="C291" t="s">
        <v>350</v>
      </c>
      <c r="E291" s="1">
        <v>6.960252547206674</v>
      </c>
      <c r="F291" s="1">
        <v>24.63195011539945</v>
      </c>
      <c r="G291" s="5">
        <v>1.714445935333767</v>
      </c>
      <c r="H291" s="1">
        <v>6.898096321819364</v>
      </c>
      <c r="I291" t="s">
        <v>86</v>
      </c>
      <c r="L291" t="s">
        <v>41</v>
      </c>
      <c r="M291" t="s">
        <v>821</v>
      </c>
      <c r="P291" t="s">
        <v>559</v>
      </c>
    </row>
    <row r="292" spans="1:16">
      <c r="A292" t="s">
        <v>34</v>
      </c>
      <c r="B292" t="s">
        <v>35</v>
      </c>
      <c r="C292" t="s">
        <v>507</v>
      </c>
      <c r="E292" s="1">
        <v>2.821372622755066</v>
      </c>
      <c r="F292" s="1">
        <v>61.66964058132851</v>
      </c>
      <c r="G292" s="5">
        <v>1.739930355913051</v>
      </c>
      <c r="H292" s="1">
        <v>3.627135555568004</v>
      </c>
      <c r="I292" t="s">
        <v>86</v>
      </c>
      <c r="J292" t="s">
        <v>69</v>
      </c>
      <c r="L292" t="s">
        <v>41</v>
      </c>
      <c r="M292" t="s">
        <v>822</v>
      </c>
      <c r="P292" t="s">
        <v>559</v>
      </c>
    </row>
    <row r="293" spans="1:16">
      <c r="A293" t="s">
        <v>34</v>
      </c>
      <c r="B293" t="s">
        <v>35</v>
      </c>
      <c r="C293" t="s">
        <v>248</v>
      </c>
      <c r="E293" s="1">
        <v>1.680633371422783</v>
      </c>
      <c r="F293" s="1">
        <v>33.72239507926324</v>
      </c>
      <c r="G293" s="5">
        <v>0.5667498253451325</v>
      </c>
      <c r="H293" s="1">
        <v>1.787112923238266</v>
      </c>
      <c r="I293" t="s">
        <v>86</v>
      </c>
      <c r="L293" t="s">
        <v>41</v>
      </c>
      <c r="M293" t="s">
        <v>823</v>
      </c>
      <c r="P293" t="s">
        <v>559</v>
      </c>
    </row>
    <row r="294" spans="1:16">
      <c r="A294" t="s">
        <v>34</v>
      </c>
      <c r="B294" t="s">
        <v>35</v>
      </c>
      <c r="C294" t="s">
        <v>250</v>
      </c>
      <c r="E294" s="1">
        <v>1.067424001492117</v>
      </c>
      <c r="F294" s="1">
        <v>7.096022013324554</v>
      </c>
      <c r="G294" s="5">
        <v>0.0757446421213903</v>
      </c>
      <c r="H294" s="1">
        <v>0.9090445542978906</v>
      </c>
      <c r="I294" t="s">
        <v>86</v>
      </c>
      <c r="L294" t="s">
        <v>41</v>
      </c>
      <c r="M294" t="s">
        <v>824</v>
      </c>
      <c r="P294" t="s">
        <v>559</v>
      </c>
    </row>
    <row r="295" spans="1:16">
      <c r="A295" t="s">
        <v>34</v>
      </c>
      <c r="B295" t="s">
        <v>35</v>
      </c>
      <c r="C295" t="s">
        <v>252</v>
      </c>
      <c r="E295" s="1">
        <v>0.3897408113825905</v>
      </c>
      <c r="F295" s="1">
        <v>17.11678324821095</v>
      </c>
      <c r="G295" s="5">
        <v>0.06671108991417672</v>
      </c>
      <c r="H295" s="1">
        <v>0.3629692937178127</v>
      </c>
      <c r="I295" t="s">
        <v>86</v>
      </c>
      <c r="L295" t="s">
        <v>41</v>
      </c>
      <c r="M295" t="s">
        <v>825</v>
      </c>
      <c r="P295" t="s">
        <v>559</v>
      </c>
    </row>
    <row r="296" spans="1:16">
      <c r="A296" t="s">
        <v>34</v>
      </c>
      <c r="B296" t="s">
        <v>35</v>
      </c>
      <c r="C296" t="s">
        <v>254</v>
      </c>
      <c r="E296" s="1">
        <v>1.243994512264297</v>
      </c>
      <c r="F296" s="1">
        <v>17.95165395134388</v>
      </c>
      <c r="G296" s="5">
        <v>0.2233175900153949</v>
      </c>
      <c r="H296" s="1">
        <v>1.166802539139365</v>
      </c>
      <c r="I296" t="s">
        <v>86</v>
      </c>
      <c r="L296" t="s">
        <v>41</v>
      </c>
      <c r="M296" t="s">
        <v>826</v>
      </c>
      <c r="P296" t="s">
        <v>559</v>
      </c>
    </row>
    <row r="297" spans="1:16">
      <c r="A297" t="s">
        <v>34</v>
      </c>
      <c r="B297" t="s">
        <v>35</v>
      </c>
      <c r="C297" t="s">
        <v>256</v>
      </c>
      <c r="D297" t="s">
        <v>536</v>
      </c>
      <c r="E297" s="1">
        <v>2.484517209825298</v>
      </c>
      <c r="F297" s="1">
        <v>38.62738680262228</v>
      </c>
      <c r="G297" s="5">
        <v>0.9597040728169361</v>
      </c>
      <c r="H297" s="1">
        <v>2.738835270084052</v>
      </c>
      <c r="I297" t="s">
        <v>293</v>
      </c>
      <c r="L297" t="s">
        <v>41</v>
      </c>
      <c r="M297" t="s">
        <v>827</v>
      </c>
      <c r="P297" t="s">
        <v>559</v>
      </c>
    </row>
    <row r="298" spans="1:16">
      <c r="A298" t="s">
        <v>34</v>
      </c>
      <c r="B298" t="s">
        <v>35</v>
      </c>
      <c r="C298" t="s">
        <v>141</v>
      </c>
      <c r="E298" s="1">
        <v>7.872499770885698</v>
      </c>
      <c r="F298" s="1">
        <v>124.9603148666702</v>
      </c>
      <c r="G298" s="5">
        <v>9.83750050157666</v>
      </c>
      <c r="H298" s="1">
        <v>14.08294339967833</v>
      </c>
      <c r="I298" t="s">
        <v>86</v>
      </c>
      <c r="J298" t="s">
        <v>79</v>
      </c>
      <c r="L298" t="s">
        <v>41</v>
      </c>
      <c r="M298" t="s">
        <v>828</v>
      </c>
      <c r="P298" t="s">
        <v>559</v>
      </c>
    </row>
    <row r="299" spans="1:16">
      <c r="A299" t="s">
        <v>34</v>
      </c>
      <c r="B299" t="s">
        <v>35</v>
      </c>
      <c r="C299" t="s">
        <v>513</v>
      </c>
      <c r="D299" t="s">
        <v>539</v>
      </c>
      <c r="E299" s="1">
        <v>1.858673361629198</v>
      </c>
      <c r="F299" s="1">
        <v>82.38301536255508</v>
      </c>
      <c r="G299" s="5">
        <v>1.531231161050701</v>
      </c>
      <c r="H299" s="1">
        <v>2.695642732284214</v>
      </c>
      <c r="I299" t="s">
        <v>434</v>
      </c>
      <c r="L299" t="s">
        <v>41</v>
      </c>
      <c r="M299" t="s">
        <v>829</v>
      </c>
      <c r="P299" t="s">
        <v>559</v>
      </c>
    </row>
    <row r="300" spans="1:16">
      <c r="A300" t="s">
        <v>34</v>
      </c>
      <c r="B300" t="s">
        <v>35</v>
      </c>
      <c r="C300" t="s">
        <v>260</v>
      </c>
      <c r="E300" s="1">
        <v>3.09306391980221</v>
      </c>
      <c r="F300" s="1">
        <v>10.52647437476624</v>
      </c>
      <c r="G300" s="5">
        <v>0.3255905809131196</v>
      </c>
      <c r="H300" s="1">
        <v>2.7185046355697</v>
      </c>
      <c r="I300" t="s">
        <v>86</v>
      </c>
      <c r="L300" t="s">
        <v>41</v>
      </c>
      <c r="M300" t="s">
        <v>830</v>
      </c>
      <c r="P300" t="s">
        <v>559</v>
      </c>
    </row>
    <row r="301" spans="1:16">
      <c r="A301" t="s">
        <v>34</v>
      </c>
      <c r="B301" t="s">
        <v>35</v>
      </c>
      <c r="C301" t="s">
        <v>379</v>
      </c>
      <c r="E301" s="1">
        <v>0.1609236544557079</v>
      </c>
      <c r="F301" s="1">
        <v>23.37061082602618</v>
      </c>
      <c r="G301" s="5">
        <v>0.03760884100986264</v>
      </c>
      <c r="H301" s="1">
        <v>0.1578724931464829</v>
      </c>
      <c r="I301" t="s">
        <v>86</v>
      </c>
      <c r="L301" t="s">
        <v>41</v>
      </c>
      <c r="M301" t="s">
        <v>831</v>
      </c>
      <c r="P301" t="s">
        <v>559</v>
      </c>
    </row>
    <row r="302" spans="1:16">
      <c r="A302" t="s">
        <v>34</v>
      </c>
      <c r="B302" t="s">
        <v>35</v>
      </c>
      <c r="C302" t="s">
        <v>264</v>
      </c>
      <c r="E302" s="1">
        <v>2.899240571768548</v>
      </c>
      <c r="F302" s="1">
        <v>28.378456371927</v>
      </c>
      <c r="G302" s="5">
        <v>0.8227597207765445</v>
      </c>
      <c r="H302" s="1">
        <v>2.959724373070877</v>
      </c>
      <c r="I302" t="s">
        <v>109</v>
      </c>
      <c r="L302" t="s">
        <v>41</v>
      </c>
      <c r="M302" t="s">
        <v>832</v>
      </c>
      <c r="P302" t="s">
        <v>559</v>
      </c>
    </row>
    <row r="303" spans="1:16">
      <c r="A303" t="s">
        <v>34</v>
      </c>
      <c r="B303" t="s">
        <v>35</v>
      </c>
      <c r="C303" t="s">
        <v>266</v>
      </c>
      <c r="D303" t="s">
        <v>833</v>
      </c>
      <c r="E303" s="1">
        <v>0.1098610271018249</v>
      </c>
      <c r="F303" s="1">
        <v>-33.42752313930829</v>
      </c>
      <c r="G303" s="5">
        <v>-0.03672382025554428</v>
      </c>
      <c r="H303" s="1">
        <v>0.05815850528406172</v>
      </c>
      <c r="I303" t="s">
        <v>834</v>
      </c>
      <c r="J303" t="s">
        <v>53</v>
      </c>
      <c r="L303" t="s">
        <v>41</v>
      </c>
      <c r="M303" t="s">
        <v>835</v>
      </c>
      <c r="P303" t="s">
        <v>559</v>
      </c>
    </row>
    <row r="304" spans="1:16">
      <c r="A304" t="s">
        <v>34</v>
      </c>
      <c r="B304" t="s">
        <v>35</v>
      </c>
      <c r="C304" t="s">
        <v>405</v>
      </c>
      <c r="D304" t="s">
        <v>836</v>
      </c>
      <c r="E304" s="1">
        <v>1.775831223176664</v>
      </c>
      <c r="F304" s="1">
        <v>44.3763151078185</v>
      </c>
      <c r="G304" s="5">
        <v>0.7880484593799035</v>
      </c>
      <c r="H304" s="1">
        <v>2.038790056326134</v>
      </c>
      <c r="I304" t="s">
        <v>837</v>
      </c>
      <c r="L304" t="s">
        <v>41</v>
      </c>
      <c r="M304" t="s">
        <v>838</v>
      </c>
      <c r="P304" t="s">
        <v>559</v>
      </c>
    </row>
    <row r="305" spans="1:16">
      <c r="A305" t="s">
        <v>34</v>
      </c>
      <c r="B305" t="s">
        <v>35</v>
      </c>
      <c r="C305" t="s">
        <v>268</v>
      </c>
      <c r="E305" s="1">
        <v>21.74059692774176</v>
      </c>
      <c r="F305" s="1">
        <v>1.816897023486352</v>
      </c>
      <c r="G305" s="5">
        <v>0.3950042584683062</v>
      </c>
      <c r="H305" s="1">
        <v>17.60216904727952</v>
      </c>
      <c r="I305" t="s">
        <v>86</v>
      </c>
      <c r="L305" t="s">
        <v>41</v>
      </c>
      <c r="M305" t="s">
        <v>839</v>
      </c>
      <c r="P305" t="s">
        <v>559</v>
      </c>
    </row>
    <row r="306" spans="1:16">
      <c r="A306" t="s">
        <v>34</v>
      </c>
      <c r="B306" t="s">
        <v>35</v>
      </c>
      <c r="C306" t="s">
        <v>408</v>
      </c>
      <c r="E306" s="1">
        <v>2.326889251037775</v>
      </c>
      <c r="F306" s="1">
        <v>-2.283477384948307</v>
      </c>
      <c r="G306" s="5">
        <v>-0.0531339898202406</v>
      </c>
      <c r="H306" s="1">
        <v>1.808083916194949</v>
      </c>
      <c r="I306" t="s">
        <v>86</v>
      </c>
      <c r="J306" t="s">
        <v>45</v>
      </c>
      <c r="L306" t="s">
        <v>41</v>
      </c>
      <c r="M306" t="s">
        <v>840</v>
      </c>
      <c r="P306" t="s">
        <v>559</v>
      </c>
    </row>
    <row r="307" spans="1:16">
      <c r="A307" t="s">
        <v>34</v>
      </c>
      <c r="B307" t="s">
        <v>35</v>
      </c>
      <c r="C307" t="s">
        <v>338</v>
      </c>
      <c r="E307" s="1">
        <v>8.107764172493592</v>
      </c>
      <c r="F307" s="1">
        <v>-0.3321192799032202</v>
      </c>
      <c r="G307" s="5">
        <v>-0.02692744798593714</v>
      </c>
      <c r="H307" s="1">
        <v>6.425859088790435</v>
      </c>
      <c r="I307" t="s">
        <v>86</v>
      </c>
      <c r="L307" t="s">
        <v>41</v>
      </c>
      <c r="M307" t="s">
        <v>841</v>
      </c>
      <c r="P307" t="s">
        <v>559</v>
      </c>
    </row>
    <row r="308" spans="1:16">
      <c r="A308" t="s">
        <v>34</v>
      </c>
      <c r="B308" t="s">
        <v>35</v>
      </c>
      <c r="C308" t="s">
        <v>111</v>
      </c>
      <c r="E308" s="1">
        <v>11.4425718428074</v>
      </c>
      <c r="F308" s="1">
        <v>31.48645429834176</v>
      </c>
      <c r="G308" s="5">
        <v>3.602860153840474</v>
      </c>
      <c r="H308" s="1">
        <v>11.96408605153801</v>
      </c>
      <c r="I308" t="s">
        <v>109</v>
      </c>
      <c r="J308" t="s">
        <v>71</v>
      </c>
      <c r="L308" t="s">
        <v>41</v>
      </c>
      <c r="M308" t="s">
        <v>842</v>
      </c>
      <c r="P308" t="s">
        <v>559</v>
      </c>
    </row>
    <row r="309" spans="1:16">
      <c r="A309" t="s">
        <v>34</v>
      </c>
      <c r="B309" t="s">
        <v>35</v>
      </c>
      <c r="C309" t="s">
        <v>441</v>
      </c>
      <c r="E309" s="1">
        <v>1.39766756912118</v>
      </c>
      <c r="F309" s="1">
        <v>25.07487957850432</v>
      </c>
      <c r="G309" s="5">
        <v>0.3504634598649447</v>
      </c>
      <c r="H309" s="1">
        <v>1.39010897558897</v>
      </c>
      <c r="I309" t="s">
        <v>86</v>
      </c>
      <c r="L309" t="s">
        <v>41</v>
      </c>
      <c r="M309" t="s">
        <v>843</v>
      </c>
      <c r="P309" t="s">
        <v>559</v>
      </c>
    </row>
    <row r="310" spans="1:16">
      <c r="A310" t="s">
        <v>34</v>
      </c>
      <c r="B310" t="s">
        <v>35</v>
      </c>
      <c r="C310" t="s">
        <v>271</v>
      </c>
      <c r="E310" s="1">
        <v>1.170549360918039</v>
      </c>
      <c r="F310" s="1">
        <v>11.676912549982</v>
      </c>
      <c r="G310" s="5">
        <v>0.1366840252287727</v>
      </c>
      <c r="H310" s="1">
        <v>1.039508385321767</v>
      </c>
      <c r="I310" t="s">
        <v>109</v>
      </c>
      <c r="L310" t="s">
        <v>41</v>
      </c>
      <c r="M310" t="s">
        <v>844</v>
      </c>
      <c r="P310" t="s">
        <v>559</v>
      </c>
    </row>
    <row r="311" spans="1:16">
      <c r="A311" t="s">
        <v>34</v>
      </c>
      <c r="B311" t="s">
        <v>35</v>
      </c>
      <c r="C311" t="s">
        <v>416</v>
      </c>
      <c r="E311" s="1">
        <v>4.575419012536754</v>
      </c>
      <c r="F311" s="1">
        <v>6.487630450354365</v>
      </c>
      <c r="G311" s="5">
        <v>0.2968362770886378</v>
      </c>
      <c r="H311" s="1">
        <v>3.87440397611228</v>
      </c>
      <c r="I311" t="s">
        <v>86</v>
      </c>
      <c r="L311" t="s">
        <v>41</v>
      </c>
      <c r="M311" t="s">
        <v>845</v>
      </c>
      <c r="P311" t="s">
        <v>559</v>
      </c>
    </row>
    <row r="312" spans="1:16">
      <c r="A312" t="s">
        <v>34</v>
      </c>
      <c r="B312" t="s">
        <v>35</v>
      </c>
      <c r="C312" t="s">
        <v>274</v>
      </c>
      <c r="E312" s="1">
        <v>2.752343323467489</v>
      </c>
      <c r="F312" s="1">
        <v>29.6321430959364</v>
      </c>
      <c r="G312" s="5">
        <v>0.8155783121013381</v>
      </c>
      <c r="H312" s="1">
        <v>2.83720144975567</v>
      </c>
      <c r="I312" t="s">
        <v>86</v>
      </c>
      <c r="L312" t="s">
        <v>41</v>
      </c>
      <c r="M312" t="s">
        <v>846</v>
      </c>
      <c r="P312" t="s">
        <v>559</v>
      </c>
    </row>
    <row r="313" spans="1:16">
      <c r="A313" t="s">
        <v>34</v>
      </c>
      <c r="B313" t="s">
        <v>35</v>
      </c>
      <c r="C313" t="s">
        <v>119</v>
      </c>
      <c r="E313" s="1">
        <v>5.110455146617847</v>
      </c>
      <c r="F313" s="1">
        <v>17.91078856891319</v>
      </c>
      <c r="G313" s="5">
        <v>0.915322816219865</v>
      </c>
      <c r="H313" s="1">
        <v>4.791682026206634</v>
      </c>
      <c r="I313" t="s">
        <v>86</v>
      </c>
      <c r="L313" t="s">
        <v>41</v>
      </c>
      <c r="M313" t="s">
        <v>847</v>
      </c>
      <c r="P313" t="s">
        <v>559</v>
      </c>
    </row>
    <row r="314" spans="1:16">
      <c r="A314" t="s">
        <v>34</v>
      </c>
      <c r="B314" t="s">
        <v>35</v>
      </c>
      <c r="C314" t="s">
        <v>433</v>
      </c>
      <c r="E314" s="1">
        <v>0.1591637647812229</v>
      </c>
      <c r="F314" s="1">
        <v>-21.63103907293512</v>
      </c>
      <c r="G314" s="5">
        <v>-0.03442877614978088</v>
      </c>
      <c r="H314" s="1">
        <v>0.09918891913217789</v>
      </c>
      <c r="I314" t="s">
        <v>86</v>
      </c>
      <c r="L314" t="s">
        <v>41</v>
      </c>
      <c r="M314" t="s">
        <v>848</v>
      </c>
      <c r="P314" t="s">
        <v>559</v>
      </c>
    </row>
    <row r="315" spans="1:16">
      <c r="A315" t="s">
        <v>34</v>
      </c>
      <c r="B315" t="s">
        <v>35</v>
      </c>
      <c r="G315" s="2">
        <v>5.012E-15</v>
      </c>
      <c r="I315" t="s">
        <v>57</v>
      </c>
      <c r="L315" t="s">
        <v>58</v>
      </c>
      <c r="M315" t="s">
        <v>849</v>
      </c>
      <c r="P315" t="s">
        <v>60</v>
      </c>
    </row>
    <row r="316" spans="1:16">
      <c r="A316" t="s">
        <v>34</v>
      </c>
      <c r="B316" t="s">
        <v>35</v>
      </c>
      <c r="C316" t="s">
        <v>61</v>
      </c>
      <c r="G316" s="6">
        <f>SUM(G287:G315)</f>
        <v>25.75496307729872</v>
      </c>
      <c r="I316" t="s">
        <v>64</v>
      </c>
      <c r="K316" s="1">
        <v>23.88795185755459</v>
      </c>
      <c r="L316" t="s">
        <v>62</v>
      </c>
      <c r="M316" t="s">
        <v>850</v>
      </c>
      <c r="N316" s="1">
        <v>25.75496307729872</v>
      </c>
      <c r="O316" s="2">
        <f>G316-N316</f>
        <v>0</v>
      </c>
    </row>
  </sheetData>
  <mergeCells count="1">
    <mergeCell ref="A2:P3"/>
  </mergeCells>
  <conditionalFormatting sqref="G6:G316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P129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5"/>
  <cols>
    <col min="1" max="1" width="14.7109375" customWidth="1"/>
    <col min="2" max="2" width="24.7109375" customWidth="1"/>
    <col min="3" max="3" width="23.7109375" customWidth="1"/>
    <col min="4" max="4" width="30.7109375" customWidth="1"/>
    <col min="5" max="8" width="23.7109375" customWidth="1"/>
    <col min="9" max="9" width="65.7109375" customWidth="1"/>
    <col min="10" max="12" width="23.7109375" customWidth="1"/>
    <col min="13" max="13" width="34.7109375" customWidth="1"/>
    <col min="14" max="15" width="27.7109375" customWidth="1"/>
    <col min="16" max="16" width="48.7109375" customWidth="1"/>
  </cols>
  <sheetData>
    <row r="1" spans="1:16">
      <c r="A1" s="3" t="s">
        <v>851</v>
      </c>
    </row>
    <row r="2" spans="1:16">
      <c r="A2" s="4" t="s">
        <v>38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5" spans="1:16">
      <c r="A5" t="s">
        <v>2</v>
      </c>
      <c r="B5" t="s">
        <v>223</v>
      </c>
      <c r="C5" t="s">
        <v>224</v>
      </c>
      <c r="D5" t="s">
        <v>225</v>
      </c>
      <c r="E5" t="s">
        <v>226</v>
      </c>
      <c r="F5" t="s">
        <v>227</v>
      </c>
      <c r="G5" t="s">
        <v>228</v>
      </c>
      <c r="H5" t="s">
        <v>229</v>
      </c>
      <c r="I5" t="s">
        <v>230</v>
      </c>
      <c r="J5" t="s">
        <v>231</v>
      </c>
      <c r="K5" t="s">
        <v>232</v>
      </c>
      <c r="L5" t="s">
        <v>233</v>
      </c>
      <c r="M5" t="s">
        <v>234</v>
      </c>
      <c r="N5" t="s">
        <v>235</v>
      </c>
      <c r="O5" t="s">
        <v>236</v>
      </c>
      <c r="P5" t="s">
        <v>237</v>
      </c>
    </row>
    <row r="6" spans="1:16">
      <c r="A6" t="s">
        <v>11</v>
      </c>
      <c r="B6" t="s">
        <v>12</v>
      </c>
      <c r="C6" t="s">
        <v>246</v>
      </c>
      <c r="E6" s="1">
        <v>12.5</v>
      </c>
      <c r="F6" s="1">
        <v>10.62853220225481</v>
      </c>
      <c r="G6" s="5">
        <v>1.328566525281852</v>
      </c>
      <c r="H6" s="1">
        <v>11.30689430389003</v>
      </c>
      <c r="I6" t="s">
        <v>852</v>
      </c>
      <c r="L6" t="s">
        <v>41</v>
      </c>
      <c r="M6" t="s">
        <v>853</v>
      </c>
      <c r="P6" t="s">
        <v>854</v>
      </c>
    </row>
    <row r="7" spans="1:16">
      <c r="A7" t="s">
        <v>11</v>
      </c>
      <c r="B7" t="s">
        <v>12</v>
      </c>
      <c r="C7" t="s">
        <v>855</v>
      </c>
      <c r="E7" s="1">
        <v>12.5</v>
      </c>
      <c r="F7" s="1">
        <v>-13.17482792398411</v>
      </c>
      <c r="G7" s="5">
        <v>-1.646853490498014</v>
      </c>
      <c r="H7" s="1">
        <v>8.874049253277233</v>
      </c>
      <c r="I7" t="s">
        <v>852</v>
      </c>
      <c r="J7" t="s">
        <v>45</v>
      </c>
      <c r="L7" t="s">
        <v>41</v>
      </c>
      <c r="M7" t="s">
        <v>856</v>
      </c>
      <c r="P7" t="s">
        <v>854</v>
      </c>
    </row>
    <row r="8" spans="1:16">
      <c r="A8" t="s">
        <v>11</v>
      </c>
      <c r="B8" t="s">
        <v>12</v>
      </c>
      <c r="C8" t="s">
        <v>250</v>
      </c>
      <c r="E8" s="1">
        <v>12.5</v>
      </c>
      <c r="F8" s="1">
        <v>-18.22824134972202</v>
      </c>
      <c r="G8" s="5">
        <v>-2.278530168715252</v>
      </c>
      <c r="H8" s="1">
        <v>8.35756033001994</v>
      </c>
      <c r="I8" t="s">
        <v>852</v>
      </c>
      <c r="J8" t="s">
        <v>50</v>
      </c>
      <c r="L8" t="s">
        <v>41</v>
      </c>
      <c r="M8" t="s">
        <v>857</v>
      </c>
      <c r="P8" t="s">
        <v>854</v>
      </c>
    </row>
    <row r="9" spans="1:16">
      <c r="A9" t="s">
        <v>11</v>
      </c>
      <c r="B9" t="s">
        <v>12</v>
      </c>
      <c r="C9" t="s">
        <v>858</v>
      </c>
      <c r="E9" s="1">
        <v>12.5</v>
      </c>
      <c r="F9" s="1">
        <v>17.55844155844155</v>
      </c>
      <c r="G9" s="5">
        <v>2.194805194805194</v>
      </c>
      <c r="H9" s="1">
        <v>12.01517227762911</v>
      </c>
      <c r="I9" t="s">
        <v>852</v>
      </c>
      <c r="J9" t="s">
        <v>69</v>
      </c>
      <c r="L9" t="s">
        <v>41</v>
      </c>
      <c r="M9" t="s">
        <v>859</v>
      </c>
      <c r="P9" t="s">
        <v>854</v>
      </c>
    </row>
    <row r="10" spans="1:16">
      <c r="A10" t="s">
        <v>11</v>
      </c>
      <c r="B10" t="s">
        <v>12</v>
      </c>
      <c r="C10" t="s">
        <v>264</v>
      </c>
      <c r="E10" s="1">
        <v>12.5</v>
      </c>
      <c r="F10" s="1">
        <v>11.3151922185492</v>
      </c>
      <c r="G10" s="5">
        <v>1.41439902731865</v>
      </c>
      <c r="H10" s="1">
        <v>11.37707504363584</v>
      </c>
      <c r="I10" t="s">
        <v>852</v>
      </c>
      <c r="L10" t="s">
        <v>41</v>
      </c>
      <c r="M10" t="s">
        <v>860</v>
      </c>
      <c r="P10" t="s">
        <v>854</v>
      </c>
    </row>
    <row r="11" spans="1:16">
      <c r="A11" t="s">
        <v>11</v>
      </c>
      <c r="B11" t="s">
        <v>12</v>
      </c>
      <c r="C11" t="s">
        <v>861</v>
      </c>
      <c r="E11" s="1">
        <v>12.5</v>
      </c>
      <c r="F11" s="1">
        <v>123.2111267860331</v>
      </c>
      <c r="G11" s="5">
        <v>15.40139084825414</v>
      </c>
      <c r="H11" s="1">
        <v>22.81350541113328</v>
      </c>
      <c r="I11" t="s">
        <v>852</v>
      </c>
      <c r="J11" t="s">
        <v>79</v>
      </c>
      <c r="L11" t="s">
        <v>41</v>
      </c>
      <c r="M11" t="s">
        <v>862</v>
      </c>
      <c r="P11" t="s">
        <v>854</v>
      </c>
    </row>
    <row r="12" spans="1:16">
      <c r="A12" t="s">
        <v>11</v>
      </c>
      <c r="B12" t="s">
        <v>12</v>
      </c>
      <c r="C12" t="s">
        <v>271</v>
      </c>
      <c r="E12" s="1">
        <v>12.5</v>
      </c>
      <c r="F12" s="1">
        <v>9.384952568462479</v>
      </c>
      <c r="G12" s="5">
        <v>1.17311907105781</v>
      </c>
      <c r="H12" s="1">
        <v>11.17979306519644</v>
      </c>
      <c r="I12" t="s">
        <v>852</v>
      </c>
      <c r="L12" t="s">
        <v>41</v>
      </c>
      <c r="M12" t="s">
        <v>863</v>
      </c>
      <c r="P12" t="s">
        <v>854</v>
      </c>
    </row>
    <row r="13" spans="1:16">
      <c r="A13" t="s">
        <v>11</v>
      </c>
      <c r="B13" t="s">
        <v>12</v>
      </c>
      <c r="C13" t="s">
        <v>864</v>
      </c>
      <c r="E13" s="1">
        <v>12.5</v>
      </c>
      <c r="F13" s="1">
        <v>37.72143622044006</v>
      </c>
      <c r="G13" s="5">
        <v>4.715179527555008</v>
      </c>
      <c r="H13" s="1">
        <v>14.07595031521813</v>
      </c>
      <c r="I13" t="s">
        <v>852</v>
      </c>
      <c r="J13" t="s">
        <v>71</v>
      </c>
      <c r="L13" t="s">
        <v>41</v>
      </c>
      <c r="M13" t="s">
        <v>865</v>
      </c>
      <c r="P13" t="s">
        <v>854</v>
      </c>
    </row>
    <row r="14" spans="1:16">
      <c r="A14" t="s">
        <v>11</v>
      </c>
      <c r="B14" t="s">
        <v>12</v>
      </c>
      <c r="G14" s="2">
        <v>-6.8E-15</v>
      </c>
      <c r="I14" t="s">
        <v>57</v>
      </c>
      <c r="L14" t="s">
        <v>58</v>
      </c>
      <c r="M14" t="s">
        <v>866</v>
      </c>
      <c r="P14" t="s">
        <v>60</v>
      </c>
    </row>
    <row r="15" spans="1:16">
      <c r="A15" t="s">
        <v>11</v>
      </c>
      <c r="B15" t="s">
        <v>12</v>
      </c>
      <c r="C15" t="s">
        <v>61</v>
      </c>
      <c r="G15" s="6">
        <f>SUM(G6:G14)</f>
        <v>22.302076535059378</v>
      </c>
      <c r="I15" t="s">
        <v>64</v>
      </c>
      <c r="K15" s="1">
        <v>-0.164271062676169</v>
      </c>
      <c r="L15" t="s">
        <v>62</v>
      </c>
      <c r="M15" t="s">
        <v>867</v>
      </c>
      <c r="N15" s="1">
        <v>22.30207653505938</v>
      </c>
      <c r="O15" s="2">
        <f>G15-N15</f>
        <v>0</v>
      </c>
    </row>
    <row r="16" spans="1:16">
      <c r="A16" t="s">
        <v>14</v>
      </c>
      <c r="B16" t="s">
        <v>15</v>
      </c>
      <c r="C16" t="s">
        <v>246</v>
      </c>
      <c r="E16" s="1">
        <v>11.30689430389003</v>
      </c>
      <c r="F16" s="1">
        <v>2.961632538622894</v>
      </c>
      <c r="G16" s="5">
        <v>0.3348686608117067</v>
      </c>
      <c r="H16" s="1">
        <v>10.41267001602152</v>
      </c>
      <c r="I16" t="s">
        <v>852</v>
      </c>
      <c r="L16" t="s">
        <v>41</v>
      </c>
      <c r="M16" t="s">
        <v>868</v>
      </c>
      <c r="P16" t="s">
        <v>854</v>
      </c>
    </row>
    <row r="17" spans="1:16">
      <c r="A17" t="s">
        <v>14</v>
      </c>
      <c r="B17" t="s">
        <v>15</v>
      </c>
      <c r="C17" t="s">
        <v>855</v>
      </c>
      <c r="E17" s="1">
        <v>8.874049253277233</v>
      </c>
      <c r="F17" s="1">
        <v>20.18529048922093</v>
      </c>
      <c r="G17" s="5">
        <v>1.791252619930551</v>
      </c>
      <c r="H17" s="1">
        <v>9.539299963733118</v>
      </c>
      <c r="I17" t="s">
        <v>852</v>
      </c>
      <c r="J17" t="s">
        <v>69</v>
      </c>
      <c r="L17" t="s">
        <v>41</v>
      </c>
      <c r="M17" t="s">
        <v>869</v>
      </c>
      <c r="P17" t="s">
        <v>854</v>
      </c>
    </row>
    <row r="18" spans="1:16">
      <c r="A18" t="s">
        <v>14</v>
      </c>
      <c r="B18" t="s">
        <v>15</v>
      </c>
      <c r="C18" t="s">
        <v>250</v>
      </c>
      <c r="E18" s="1">
        <v>8.35756033001994</v>
      </c>
      <c r="F18" s="1">
        <v>-33.64978060323809</v>
      </c>
      <c r="G18" s="5">
        <v>-2.812300714834971</v>
      </c>
      <c r="H18" s="1">
        <v>4.959812246750282</v>
      </c>
      <c r="I18" t="s">
        <v>852</v>
      </c>
      <c r="J18" t="s">
        <v>45</v>
      </c>
      <c r="L18" t="s">
        <v>41</v>
      </c>
      <c r="M18" t="s">
        <v>870</v>
      </c>
      <c r="P18" t="s">
        <v>854</v>
      </c>
    </row>
    <row r="19" spans="1:16">
      <c r="A19" t="s">
        <v>14</v>
      </c>
      <c r="B19" t="s">
        <v>15</v>
      </c>
      <c r="C19" t="s">
        <v>858</v>
      </c>
      <c r="E19" s="1">
        <v>12.01517227762911</v>
      </c>
      <c r="F19" s="1">
        <v>3.992608202737569</v>
      </c>
      <c r="G19" s="5">
        <v>0.4797187539296692</v>
      </c>
      <c r="H19" s="1">
        <v>11.17572807419736</v>
      </c>
      <c r="I19" t="s">
        <v>852</v>
      </c>
      <c r="L19" t="s">
        <v>41</v>
      </c>
      <c r="M19" t="s">
        <v>871</v>
      </c>
      <c r="P19" t="s">
        <v>854</v>
      </c>
    </row>
    <row r="20" spans="1:16">
      <c r="A20" t="s">
        <v>14</v>
      </c>
      <c r="B20" t="s">
        <v>15</v>
      </c>
      <c r="C20" t="s">
        <v>264</v>
      </c>
      <c r="E20" s="1">
        <v>11.37707504363584</v>
      </c>
      <c r="F20" s="1">
        <v>2.706717352847932</v>
      </c>
      <c r="G20" s="5">
        <v>0.3079452644526237</v>
      </c>
      <c r="H20" s="1">
        <v>10.45136041401549</v>
      </c>
      <c r="I20" t="s">
        <v>852</v>
      </c>
      <c r="L20" t="s">
        <v>41</v>
      </c>
      <c r="M20" t="s">
        <v>872</v>
      </c>
      <c r="P20" t="s">
        <v>854</v>
      </c>
    </row>
    <row r="21" spans="1:16">
      <c r="A21" t="s">
        <v>14</v>
      </c>
      <c r="B21" t="s">
        <v>15</v>
      </c>
      <c r="C21" t="s">
        <v>861</v>
      </c>
      <c r="E21" s="1">
        <v>22.81350541113328</v>
      </c>
      <c r="F21" s="1">
        <v>59.35863170331464</v>
      </c>
      <c r="G21" s="5">
        <v>13.54178465561036</v>
      </c>
      <c r="H21" s="1">
        <v>32.51703714888728</v>
      </c>
      <c r="I21" t="s">
        <v>852</v>
      </c>
      <c r="J21" t="s">
        <v>79</v>
      </c>
      <c r="L21" t="s">
        <v>41</v>
      </c>
      <c r="M21" t="s">
        <v>873</v>
      </c>
      <c r="P21" t="s">
        <v>854</v>
      </c>
    </row>
    <row r="22" spans="1:16">
      <c r="A22" t="s">
        <v>14</v>
      </c>
      <c r="B22" t="s">
        <v>15</v>
      </c>
      <c r="C22" t="s">
        <v>271</v>
      </c>
      <c r="E22" s="1">
        <v>11.17979306519644</v>
      </c>
      <c r="F22" s="1">
        <v>16.19857159359559</v>
      </c>
      <c r="G22" s="5">
        <v>1.81096678368168</v>
      </c>
      <c r="H22" s="1">
        <v>11.61924495232282</v>
      </c>
      <c r="I22" t="s">
        <v>852</v>
      </c>
      <c r="J22" t="s">
        <v>71</v>
      </c>
      <c r="L22" t="s">
        <v>41</v>
      </c>
      <c r="M22" t="s">
        <v>874</v>
      </c>
      <c r="P22" t="s">
        <v>854</v>
      </c>
    </row>
    <row r="23" spans="1:16">
      <c r="A23" t="s">
        <v>14</v>
      </c>
      <c r="B23" t="s">
        <v>15</v>
      </c>
      <c r="C23" t="s">
        <v>864</v>
      </c>
      <c r="E23" s="1">
        <v>14.07595031521813</v>
      </c>
      <c r="F23" s="1">
        <v>-25.93370083403814</v>
      </c>
      <c r="G23" s="5">
        <v>-3.650414844296519</v>
      </c>
      <c r="H23" s="1">
        <v>9.324847184072134</v>
      </c>
      <c r="I23" t="s">
        <v>852</v>
      </c>
      <c r="J23" t="s">
        <v>50</v>
      </c>
      <c r="L23" t="s">
        <v>41</v>
      </c>
      <c r="M23" t="s">
        <v>875</v>
      </c>
      <c r="P23" t="s">
        <v>854</v>
      </c>
    </row>
    <row r="24" spans="1:16">
      <c r="A24" t="s">
        <v>14</v>
      </c>
      <c r="B24" t="s">
        <v>15</v>
      </c>
      <c r="G24" s="2">
        <v>9.840000000000001E-15</v>
      </c>
      <c r="I24" t="s">
        <v>57</v>
      </c>
      <c r="L24" t="s">
        <v>58</v>
      </c>
      <c r="M24" t="s">
        <v>876</v>
      </c>
      <c r="P24" t="s">
        <v>60</v>
      </c>
    </row>
    <row r="25" spans="1:16">
      <c r="A25" t="s">
        <v>14</v>
      </c>
      <c r="B25" t="s">
        <v>15</v>
      </c>
      <c r="C25" t="s">
        <v>61</v>
      </c>
      <c r="G25" s="6">
        <f>SUM(G16:G24)</f>
        <v>11.803821179285112</v>
      </c>
      <c r="I25" t="s">
        <v>64</v>
      </c>
      <c r="K25" s="1">
        <v>-2.927532474970274</v>
      </c>
      <c r="L25" t="s">
        <v>62</v>
      </c>
      <c r="M25" t="s">
        <v>877</v>
      </c>
      <c r="N25" s="1">
        <v>11.80382117928511</v>
      </c>
      <c r="O25" s="2">
        <f>G25-N25</f>
        <v>0</v>
      </c>
    </row>
    <row r="26" spans="1:16">
      <c r="A26" t="s">
        <v>16</v>
      </c>
      <c r="B26" t="s">
        <v>17</v>
      </c>
      <c r="C26" t="s">
        <v>246</v>
      </c>
      <c r="E26" s="1">
        <v>10.41267001602152</v>
      </c>
      <c r="F26" s="1">
        <v>27.86852354038498</v>
      </c>
      <c r="G26" s="5">
        <v>2.901857394597564</v>
      </c>
      <c r="H26" s="1">
        <v>11.36124724148246</v>
      </c>
      <c r="I26" t="s">
        <v>852</v>
      </c>
      <c r="L26" t="s">
        <v>41</v>
      </c>
      <c r="M26" t="s">
        <v>878</v>
      </c>
      <c r="P26" t="s">
        <v>854</v>
      </c>
    </row>
    <row r="27" spans="1:16">
      <c r="A27" t="s">
        <v>16</v>
      </c>
      <c r="B27" t="s">
        <v>17</v>
      </c>
      <c r="C27" t="s">
        <v>855</v>
      </c>
      <c r="E27" s="1">
        <v>9.539299963733118</v>
      </c>
      <c r="F27" s="1">
        <v>4.519360773208092</v>
      </c>
      <c r="G27" s="5">
        <v>0.4311153805996082</v>
      </c>
      <c r="H27" s="1">
        <v>8.507726210161268</v>
      </c>
      <c r="I27" t="s">
        <v>852</v>
      </c>
      <c r="L27" t="s">
        <v>41</v>
      </c>
      <c r="M27" t="s">
        <v>879</v>
      </c>
      <c r="P27" t="s">
        <v>854</v>
      </c>
    </row>
    <row r="28" spans="1:16">
      <c r="A28" t="s">
        <v>16</v>
      </c>
      <c r="B28" t="s">
        <v>17</v>
      </c>
      <c r="C28" t="s">
        <v>250</v>
      </c>
      <c r="E28" s="1">
        <v>4.959812246750282</v>
      </c>
      <c r="F28" s="1">
        <v>18.69247230514528</v>
      </c>
      <c r="G28" s="5">
        <v>0.9271115306110002</v>
      </c>
      <c r="H28" s="1">
        <v>5.023294816534052</v>
      </c>
      <c r="I28" t="s">
        <v>852</v>
      </c>
      <c r="L28" t="s">
        <v>41</v>
      </c>
      <c r="M28" t="s">
        <v>880</v>
      </c>
      <c r="P28" t="s">
        <v>854</v>
      </c>
    </row>
    <row r="29" spans="1:16">
      <c r="A29" t="s">
        <v>16</v>
      </c>
      <c r="B29" t="s">
        <v>17</v>
      </c>
      <c r="C29" t="s">
        <v>858</v>
      </c>
      <c r="E29" s="1">
        <v>11.17572807419736</v>
      </c>
      <c r="F29" s="1">
        <v>23.00802591908813</v>
      </c>
      <c r="G29" s="5">
        <v>2.571314411958137</v>
      </c>
      <c r="H29" s="1">
        <v>11.73031108860922</v>
      </c>
      <c r="I29" t="s">
        <v>852</v>
      </c>
      <c r="L29" t="s">
        <v>41</v>
      </c>
      <c r="M29" t="s">
        <v>881</v>
      </c>
      <c r="P29" t="s">
        <v>854</v>
      </c>
    </row>
    <row r="30" spans="1:16">
      <c r="A30" t="s">
        <v>16</v>
      </c>
      <c r="B30" t="s">
        <v>17</v>
      </c>
      <c r="C30" t="s">
        <v>264</v>
      </c>
      <c r="E30" s="1">
        <v>10.45136041401549</v>
      </c>
      <c r="F30" s="1">
        <v>40.13875527179589</v>
      </c>
      <c r="G30" s="5">
        <v>4.195045979155031</v>
      </c>
      <c r="H30" s="1">
        <v>12.49773567624527</v>
      </c>
      <c r="I30" t="s">
        <v>852</v>
      </c>
      <c r="J30" t="s">
        <v>79</v>
      </c>
      <c r="L30" t="s">
        <v>41</v>
      </c>
      <c r="M30" t="s">
        <v>882</v>
      </c>
      <c r="P30" t="s">
        <v>854</v>
      </c>
    </row>
    <row r="31" spans="1:16">
      <c r="A31" t="s">
        <v>16</v>
      </c>
      <c r="B31" t="s">
        <v>17</v>
      </c>
      <c r="C31" t="s">
        <v>861</v>
      </c>
      <c r="E31" s="1">
        <v>32.51703714888728</v>
      </c>
      <c r="F31" s="1">
        <v>12.11353362230134</v>
      </c>
      <c r="G31" s="5">
        <v>3.93896222800668</v>
      </c>
      <c r="H31" s="1">
        <v>31.1077974893714</v>
      </c>
      <c r="I31" t="s">
        <v>852</v>
      </c>
      <c r="J31" t="s">
        <v>71</v>
      </c>
      <c r="L31" t="s">
        <v>41</v>
      </c>
      <c r="M31" t="s">
        <v>883</v>
      </c>
      <c r="P31" t="s">
        <v>854</v>
      </c>
    </row>
    <row r="32" spans="1:16">
      <c r="A32" t="s">
        <v>16</v>
      </c>
      <c r="B32" t="s">
        <v>17</v>
      </c>
      <c r="C32" t="s">
        <v>271</v>
      </c>
      <c r="E32" s="1">
        <v>11.61924495232282</v>
      </c>
      <c r="F32" s="1">
        <v>-5.898309875873009</v>
      </c>
      <c r="G32" s="5">
        <v>-0.6853390725247333</v>
      </c>
      <c r="H32" s="1">
        <v>9.329869862028319</v>
      </c>
      <c r="I32" t="s">
        <v>852</v>
      </c>
      <c r="J32" t="s">
        <v>50</v>
      </c>
      <c r="L32" t="s">
        <v>41</v>
      </c>
      <c r="M32" t="s">
        <v>884</v>
      </c>
      <c r="P32" t="s">
        <v>854</v>
      </c>
    </row>
    <row r="33" spans="1:16">
      <c r="A33" t="s">
        <v>16</v>
      </c>
      <c r="B33" t="s">
        <v>17</v>
      </c>
      <c r="C33" t="s">
        <v>864</v>
      </c>
      <c r="E33" s="1">
        <v>9.324847184072132</v>
      </c>
      <c r="F33" s="1">
        <v>31.23281457370923</v>
      </c>
      <c r="G33" s="5">
        <v>2.912412230282996</v>
      </c>
      <c r="H33" s="1">
        <v>10.44201761556801</v>
      </c>
      <c r="I33" t="s">
        <v>852</v>
      </c>
      <c r="J33" t="s">
        <v>69</v>
      </c>
      <c r="L33" t="s">
        <v>41</v>
      </c>
      <c r="M33" t="s">
        <v>885</v>
      </c>
      <c r="P33" t="s">
        <v>854</v>
      </c>
    </row>
    <row r="34" spans="1:16">
      <c r="A34" t="s">
        <v>16</v>
      </c>
      <c r="B34" t="s">
        <v>17</v>
      </c>
      <c r="G34" s="2">
        <v>1.876E-14</v>
      </c>
      <c r="I34" t="s">
        <v>57</v>
      </c>
      <c r="L34" t="s">
        <v>58</v>
      </c>
      <c r="M34" t="s">
        <v>886</v>
      </c>
      <c r="P34" t="s">
        <v>60</v>
      </c>
    </row>
    <row r="35" spans="1:16">
      <c r="A35" t="s">
        <v>16</v>
      </c>
      <c r="B35" t="s">
        <v>17</v>
      </c>
      <c r="C35" t="s">
        <v>61</v>
      </c>
      <c r="G35" s="6">
        <f>SUM(G26:G34)</f>
        <v>17.192480082686302</v>
      </c>
      <c r="I35" t="s">
        <v>64</v>
      </c>
      <c r="K35" s="1">
        <v>22.07205476283078</v>
      </c>
      <c r="L35" t="s">
        <v>62</v>
      </c>
      <c r="M35" t="s">
        <v>887</v>
      </c>
      <c r="N35" s="1">
        <v>17.1924800826863</v>
      </c>
      <c r="O35" s="2">
        <f>G35-N35</f>
        <v>0</v>
      </c>
    </row>
    <row r="36" spans="1:16">
      <c r="A36" t="s">
        <v>18</v>
      </c>
      <c r="B36" t="s">
        <v>19</v>
      </c>
      <c r="C36" t="s">
        <v>246</v>
      </c>
      <c r="E36" s="1">
        <v>11.36124724148246</v>
      </c>
      <c r="F36" s="1">
        <v>9.083292096946849</v>
      </c>
      <c r="G36" s="5">
        <v>1.03197527280017</v>
      </c>
      <c r="H36" s="1">
        <v>12.16854647578981</v>
      </c>
      <c r="I36" t="s">
        <v>852</v>
      </c>
      <c r="J36" t="s">
        <v>69</v>
      </c>
      <c r="L36" t="s">
        <v>41</v>
      </c>
      <c r="M36" t="s">
        <v>888</v>
      </c>
      <c r="P36" t="s">
        <v>854</v>
      </c>
    </row>
    <row r="37" spans="1:16">
      <c r="A37" t="s">
        <v>18</v>
      </c>
      <c r="B37" t="s">
        <v>19</v>
      </c>
      <c r="C37" t="s">
        <v>855</v>
      </c>
      <c r="E37" s="1">
        <v>8.50772621016127</v>
      </c>
      <c r="F37" s="1">
        <v>-37.69169048082579</v>
      </c>
      <c r="G37" s="5">
        <v>-3.206705830090076</v>
      </c>
      <c r="H37" s="1">
        <v>5.204918477794241</v>
      </c>
      <c r="I37" t="s">
        <v>852</v>
      </c>
      <c r="J37" t="s">
        <v>50</v>
      </c>
      <c r="L37" t="s">
        <v>41</v>
      </c>
      <c r="M37" t="s">
        <v>889</v>
      </c>
      <c r="P37" t="s">
        <v>854</v>
      </c>
    </row>
    <row r="38" spans="1:16">
      <c r="A38" t="s">
        <v>18</v>
      </c>
      <c r="B38" t="s">
        <v>19</v>
      </c>
      <c r="C38" t="s">
        <v>250</v>
      </c>
      <c r="D38" t="s">
        <v>890</v>
      </c>
      <c r="E38" s="1">
        <v>5.023294816534053</v>
      </c>
      <c r="F38" s="1">
        <v>-1.435389653134211</v>
      </c>
      <c r="G38" s="5">
        <v>-0.07210385404295676</v>
      </c>
      <c r="H38" s="1">
        <v>4.861431098178811</v>
      </c>
      <c r="I38" t="s">
        <v>852</v>
      </c>
      <c r="J38" t="s">
        <v>53</v>
      </c>
      <c r="L38" t="s">
        <v>41</v>
      </c>
      <c r="M38" t="s">
        <v>891</v>
      </c>
      <c r="P38" t="s">
        <v>854</v>
      </c>
    </row>
    <row r="39" spans="1:16">
      <c r="A39" t="s">
        <v>18</v>
      </c>
      <c r="B39" t="s">
        <v>19</v>
      </c>
      <c r="C39" t="s">
        <v>858</v>
      </c>
      <c r="E39" s="1">
        <v>11.73031108860922</v>
      </c>
      <c r="F39" s="1">
        <v>2.454710982190123</v>
      </c>
      <c r="G39" s="5">
        <v>0.2879452345371563</v>
      </c>
      <c r="H39" s="1">
        <v>11.80037802578151</v>
      </c>
      <c r="I39" t="s">
        <v>852</v>
      </c>
      <c r="L39" t="s">
        <v>41</v>
      </c>
      <c r="M39" t="s">
        <v>892</v>
      </c>
      <c r="P39" t="s">
        <v>854</v>
      </c>
    </row>
    <row r="40" spans="1:16">
      <c r="A40" t="s">
        <v>18</v>
      </c>
      <c r="B40" t="s">
        <v>19</v>
      </c>
      <c r="C40" t="s">
        <v>264</v>
      </c>
      <c r="E40" s="1">
        <v>12.49773567624527</v>
      </c>
      <c r="F40" s="1">
        <v>16.36076120496785</v>
      </c>
      <c r="G40" s="5">
        <v>2.044724690018564</v>
      </c>
      <c r="H40" s="1">
        <v>14.27882091484065</v>
      </c>
      <c r="I40" t="s">
        <v>852</v>
      </c>
      <c r="J40" t="s">
        <v>71</v>
      </c>
      <c r="L40" t="s">
        <v>41</v>
      </c>
      <c r="M40" t="s">
        <v>893</v>
      </c>
      <c r="P40" t="s">
        <v>854</v>
      </c>
    </row>
    <row r="41" spans="1:16">
      <c r="A41" t="s">
        <v>18</v>
      </c>
      <c r="B41" t="s">
        <v>19</v>
      </c>
      <c r="C41" t="s">
        <v>861</v>
      </c>
      <c r="E41" s="1">
        <v>31.1077974893714</v>
      </c>
      <c r="F41" s="1">
        <v>-4.502440964483112</v>
      </c>
      <c r="G41" s="5">
        <v>-1.400610217309906</v>
      </c>
      <c r="H41" s="1">
        <v>29.16862733388891</v>
      </c>
      <c r="I41" t="s">
        <v>852</v>
      </c>
      <c r="J41" t="s">
        <v>45</v>
      </c>
      <c r="L41" t="s">
        <v>41</v>
      </c>
      <c r="M41" t="s">
        <v>894</v>
      </c>
      <c r="P41" t="s">
        <v>854</v>
      </c>
    </row>
    <row r="42" spans="1:16">
      <c r="A42" t="s">
        <v>18</v>
      </c>
      <c r="B42" t="s">
        <v>19</v>
      </c>
      <c r="C42" t="s">
        <v>271</v>
      </c>
      <c r="E42" s="1">
        <v>9.329869862028319</v>
      </c>
      <c r="F42" s="1">
        <v>9.909563016693678</v>
      </c>
      <c r="G42" s="5">
        <v>0.9245493333532082</v>
      </c>
      <c r="H42" s="1">
        <v>10.06851740275189</v>
      </c>
      <c r="I42" t="s">
        <v>852</v>
      </c>
      <c r="L42" t="s">
        <v>41</v>
      </c>
      <c r="M42" t="s">
        <v>895</v>
      </c>
      <c r="P42" t="s">
        <v>854</v>
      </c>
    </row>
    <row r="43" spans="1:16">
      <c r="A43" t="s">
        <v>18</v>
      </c>
      <c r="B43" t="s">
        <v>19</v>
      </c>
      <c r="C43" t="s">
        <v>864</v>
      </c>
      <c r="E43" s="1">
        <v>10.44201761556801</v>
      </c>
      <c r="F43" s="1">
        <v>21.41916008534754</v>
      </c>
      <c r="G43" s="5">
        <v>2.236592469218702</v>
      </c>
      <c r="H43" s="1">
        <v>12.44876027097419</v>
      </c>
      <c r="I43" t="s">
        <v>852</v>
      </c>
      <c r="J43" t="s">
        <v>79</v>
      </c>
      <c r="L43" t="s">
        <v>41</v>
      </c>
      <c r="M43" t="s">
        <v>896</v>
      </c>
      <c r="P43" t="s">
        <v>854</v>
      </c>
    </row>
    <row r="44" spans="1:16">
      <c r="A44" t="s">
        <v>18</v>
      </c>
      <c r="B44" t="s">
        <v>19</v>
      </c>
      <c r="G44" s="2">
        <v>-1.594E-14</v>
      </c>
      <c r="I44" t="s">
        <v>57</v>
      </c>
      <c r="L44" t="s">
        <v>58</v>
      </c>
      <c r="M44" t="s">
        <v>897</v>
      </c>
      <c r="P44" t="s">
        <v>60</v>
      </c>
    </row>
    <row r="45" spans="1:16">
      <c r="A45" t="s">
        <v>18</v>
      </c>
      <c r="B45" t="s">
        <v>19</v>
      </c>
      <c r="C45" t="s">
        <v>61</v>
      </c>
      <c r="G45" s="6">
        <f>SUM(G36:G44)</f>
        <v>1.8463670984848468</v>
      </c>
      <c r="I45" t="s">
        <v>64</v>
      </c>
      <c r="K45" s="1">
        <v>15.67973720814175</v>
      </c>
      <c r="L45" t="s">
        <v>62</v>
      </c>
      <c r="M45" t="s">
        <v>898</v>
      </c>
      <c r="N45" s="1">
        <v>1.846367098484847</v>
      </c>
      <c r="O45" s="2">
        <f>G45-N45</f>
        <v>0</v>
      </c>
    </row>
    <row r="46" spans="1:16">
      <c r="A46" t="s">
        <v>20</v>
      </c>
      <c r="B46" t="s">
        <v>21</v>
      </c>
      <c r="C46" t="s">
        <v>246</v>
      </c>
      <c r="E46" s="1">
        <v>12.16854647578981</v>
      </c>
      <c r="F46" s="1">
        <v>74.07709790268062</v>
      </c>
      <c r="G46" s="5">
        <v>9.014106086204011</v>
      </c>
      <c r="H46" s="1">
        <v>15.06243737723124</v>
      </c>
      <c r="I46" t="s">
        <v>852</v>
      </c>
      <c r="J46" t="s">
        <v>79</v>
      </c>
      <c r="L46" t="s">
        <v>41</v>
      </c>
      <c r="M46" t="s">
        <v>899</v>
      </c>
      <c r="P46" t="s">
        <v>854</v>
      </c>
    </row>
    <row r="47" spans="1:16">
      <c r="A47" t="s">
        <v>20</v>
      </c>
      <c r="B47" t="s">
        <v>21</v>
      </c>
      <c r="C47" t="s">
        <v>855</v>
      </c>
      <c r="E47" s="1">
        <v>5.204918477794242</v>
      </c>
      <c r="F47" s="1">
        <v>43.64632280745246</v>
      </c>
      <c r="G47" s="5">
        <v>2.271755520682815</v>
      </c>
      <c r="H47" s="1">
        <v>5.316469859591263</v>
      </c>
      <c r="I47" t="s">
        <v>852</v>
      </c>
      <c r="L47" t="s">
        <v>41</v>
      </c>
      <c r="M47" t="s">
        <v>900</v>
      </c>
      <c r="P47" t="s">
        <v>854</v>
      </c>
    </row>
    <row r="48" spans="1:16">
      <c r="A48" t="s">
        <v>20</v>
      </c>
      <c r="B48" t="s">
        <v>21</v>
      </c>
      <c r="C48" t="s">
        <v>250</v>
      </c>
      <c r="E48" s="1">
        <v>4.861431098178811</v>
      </c>
      <c r="F48" s="1">
        <v>112.2592995526929</v>
      </c>
      <c r="G48" s="5">
        <v>5.457408499052322</v>
      </c>
      <c r="H48" s="1">
        <v>7.337460442412055</v>
      </c>
      <c r="I48" t="s">
        <v>852</v>
      </c>
      <c r="L48" t="s">
        <v>41</v>
      </c>
      <c r="M48" t="s">
        <v>901</v>
      </c>
      <c r="P48" t="s">
        <v>854</v>
      </c>
    </row>
    <row r="49" spans="1:16">
      <c r="A49" t="s">
        <v>20</v>
      </c>
      <c r="B49" t="s">
        <v>21</v>
      </c>
      <c r="C49" t="s">
        <v>858</v>
      </c>
      <c r="E49" s="1">
        <v>11.80037802578151</v>
      </c>
      <c r="F49" s="1">
        <v>10.82107696808878</v>
      </c>
      <c r="G49" s="5">
        <v>1.276927988695252</v>
      </c>
      <c r="H49" s="1">
        <v>9.298934698072831</v>
      </c>
      <c r="I49" t="s">
        <v>852</v>
      </c>
      <c r="L49" t="s">
        <v>41</v>
      </c>
      <c r="M49" t="s">
        <v>902</v>
      </c>
      <c r="P49" t="s">
        <v>854</v>
      </c>
    </row>
    <row r="50" spans="1:16">
      <c r="A50" t="s">
        <v>20</v>
      </c>
      <c r="B50" t="s">
        <v>21</v>
      </c>
      <c r="C50" t="s">
        <v>264</v>
      </c>
      <c r="E50" s="1">
        <v>14.27882091484065</v>
      </c>
      <c r="F50" s="1">
        <v>44.65655974415721</v>
      </c>
      <c r="G50" s="5">
        <v>6.376430192597028</v>
      </c>
      <c r="H50" s="1">
        <v>14.68741581849758</v>
      </c>
      <c r="I50" t="s">
        <v>852</v>
      </c>
      <c r="J50" t="s">
        <v>69</v>
      </c>
      <c r="L50" t="s">
        <v>41</v>
      </c>
      <c r="M50" t="s">
        <v>903</v>
      </c>
      <c r="P50" t="s">
        <v>854</v>
      </c>
    </row>
    <row r="51" spans="1:16">
      <c r="A51" t="s">
        <v>20</v>
      </c>
      <c r="B51" t="s">
        <v>21</v>
      </c>
      <c r="C51" t="s">
        <v>861</v>
      </c>
      <c r="E51" s="1">
        <v>29.16862733388891</v>
      </c>
      <c r="F51" s="1">
        <v>15.7294303546603</v>
      </c>
      <c r="G51" s="5">
        <v>4.588058921894466</v>
      </c>
      <c r="H51" s="1">
        <v>24.0035081207375</v>
      </c>
      <c r="I51" t="s">
        <v>852</v>
      </c>
      <c r="L51" t="s">
        <v>41</v>
      </c>
      <c r="M51" t="s">
        <v>904</v>
      </c>
      <c r="P51" t="s">
        <v>854</v>
      </c>
    </row>
    <row r="52" spans="1:16">
      <c r="A52" t="s">
        <v>20</v>
      </c>
      <c r="B52" t="s">
        <v>21</v>
      </c>
      <c r="C52" t="s">
        <v>271</v>
      </c>
      <c r="E52" s="1">
        <v>10.06851740275189</v>
      </c>
      <c r="F52" s="1">
        <v>73.69180277083038</v>
      </c>
      <c r="G52" s="5">
        <v>7.41967198638266</v>
      </c>
      <c r="H52" s="1">
        <v>12.43539999271013</v>
      </c>
      <c r="I52" t="s">
        <v>852</v>
      </c>
      <c r="J52" t="s">
        <v>71</v>
      </c>
      <c r="L52" t="s">
        <v>41</v>
      </c>
      <c r="M52" t="s">
        <v>905</v>
      </c>
      <c r="P52" t="s">
        <v>854</v>
      </c>
    </row>
    <row r="53" spans="1:16">
      <c r="A53" t="s">
        <v>20</v>
      </c>
      <c r="B53" t="s">
        <v>21</v>
      </c>
      <c r="C53" t="s">
        <v>864</v>
      </c>
      <c r="E53" s="1">
        <v>12.44876027097419</v>
      </c>
      <c r="F53" s="1">
        <v>33.96276937726772</v>
      </c>
      <c r="G53" s="5">
        <v>4.227943741159891</v>
      </c>
      <c r="H53" s="1">
        <v>11.8583736907474</v>
      </c>
      <c r="I53" t="s">
        <v>852</v>
      </c>
      <c r="L53" t="s">
        <v>41</v>
      </c>
      <c r="M53" t="s">
        <v>906</v>
      </c>
      <c r="P53" t="s">
        <v>854</v>
      </c>
    </row>
    <row r="54" spans="1:16">
      <c r="A54" t="s">
        <v>20</v>
      </c>
      <c r="B54" t="s">
        <v>21</v>
      </c>
      <c r="G54" s="2">
        <v>2.49E-14</v>
      </c>
      <c r="I54" t="s">
        <v>57</v>
      </c>
      <c r="L54" t="s">
        <v>58</v>
      </c>
      <c r="M54" t="s">
        <v>907</v>
      </c>
      <c r="P54" t="s">
        <v>60</v>
      </c>
    </row>
    <row r="55" spans="1:16">
      <c r="A55" t="s">
        <v>20</v>
      </c>
      <c r="B55" t="s">
        <v>21</v>
      </c>
      <c r="C55" t="s">
        <v>61</v>
      </c>
      <c r="G55" s="6">
        <f>SUM(G46:G54)</f>
        <v>40.63230293666847</v>
      </c>
      <c r="I55" t="s">
        <v>64</v>
      </c>
      <c r="K55" s="1">
        <v>38.76264868231611</v>
      </c>
      <c r="L55" t="s">
        <v>62</v>
      </c>
      <c r="M55" t="s">
        <v>908</v>
      </c>
      <c r="N55" s="1">
        <v>40.63230293666847</v>
      </c>
      <c r="O55" s="2">
        <f>G55-N55</f>
        <v>0</v>
      </c>
    </row>
    <row r="56" spans="1:16">
      <c r="A56" t="s">
        <v>22</v>
      </c>
      <c r="B56" t="s">
        <v>23</v>
      </c>
      <c r="C56" t="s">
        <v>246</v>
      </c>
      <c r="E56" s="1">
        <v>15.06243737723124</v>
      </c>
      <c r="F56" s="1">
        <v>-35.88439938793194</v>
      </c>
      <c r="G56" s="5">
        <v>-5.405065186002801</v>
      </c>
      <c r="H56" s="1">
        <v>8.121355070102235</v>
      </c>
      <c r="I56" t="s">
        <v>852</v>
      </c>
      <c r="J56" t="s">
        <v>50</v>
      </c>
      <c r="L56" t="s">
        <v>41</v>
      </c>
      <c r="M56" t="s">
        <v>909</v>
      </c>
      <c r="P56" t="s">
        <v>854</v>
      </c>
    </row>
    <row r="57" spans="1:16">
      <c r="A57" t="s">
        <v>22</v>
      </c>
      <c r="B57" t="s">
        <v>23</v>
      </c>
      <c r="C57" t="s">
        <v>855</v>
      </c>
      <c r="E57" s="1">
        <v>5.316469859591263</v>
      </c>
      <c r="F57" s="1">
        <v>11.58976287841071</v>
      </c>
      <c r="G57" s="5">
        <v>0.6161662502288021</v>
      </c>
      <c r="H57" s="1">
        <v>4.989042919286103</v>
      </c>
      <c r="I57" t="s">
        <v>852</v>
      </c>
      <c r="L57" t="s">
        <v>41</v>
      </c>
      <c r="M57" t="s">
        <v>910</v>
      </c>
      <c r="P57" t="s">
        <v>854</v>
      </c>
    </row>
    <row r="58" spans="1:16">
      <c r="A58" t="s">
        <v>22</v>
      </c>
      <c r="B58" t="s">
        <v>23</v>
      </c>
      <c r="C58" t="s">
        <v>250</v>
      </c>
      <c r="E58" s="1">
        <v>7.337460442412054</v>
      </c>
      <c r="F58" s="1">
        <v>-24.30429359172362</v>
      </c>
      <c r="G58" s="5">
        <v>-1.783317928100409</v>
      </c>
      <c r="H58" s="1">
        <v>4.6707492033542</v>
      </c>
      <c r="I58" t="s">
        <v>852</v>
      </c>
      <c r="J58" t="s">
        <v>53</v>
      </c>
      <c r="L58" t="s">
        <v>41</v>
      </c>
      <c r="M58" t="s">
        <v>911</v>
      </c>
      <c r="P58" t="s">
        <v>854</v>
      </c>
    </row>
    <row r="59" spans="1:16">
      <c r="A59" t="s">
        <v>22</v>
      </c>
      <c r="B59" t="s">
        <v>23</v>
      </c>
      <c r="C59" t="s">
        <v>858</v>
      </c>
      <c r="E59" s="1">
        <v>9.298934698072831</v>
      </c>
      <c r="F59" s="1">
        <v>15.93578026488365</v>
      </c>
      <c r="G59" s="5">
        <v>1.481857800459907</v>
      </c>
      <c r="H59" s="1">
        <v>9.066093972975665</v>
      </c>
      <c r="I59" t="s">
        <v>852</v>
      </c>
      <c r="J59" t="s">
        <v>69</v>
      </c>
      <c r="L59" t="s">
        <v>41</v>
      </c>
      <c r="M59" t="s">
        <v>912</v>
      </c>
      <c r="P59" t="s">
        <v>854</v>
      </c>
    </row>
    <row r="60" spans="1:16">
      <c r="A60" t="s">
        <v>22</v>
      </c>
      <c r="B60" t="s">
        <v>23</v>
      </c>
      <c r="C60" t="s">
        <v>264</v>
      </c>
      <c r="E60" s="1">
        <v>14.68741581849758</v>
      </c>
      <c r="F60" s="1">
        <v>-25.4773202452461</v>
      </c>
      <c r="G60" s="5">
        <v>-3.741959963829562</v>
      </c>
      <c r="H60" s="1">
        <v>9.204567416447576</v>
      </c>
      <c r="I60" t="s">
        <v>852</v>
      </c>
      <c r="J60" t="s">
        <v>45</v>
      </c>
      <c r="L60" t="s">
        <v>41</v>
      </c>
      <c r="M60" t="s">
        <v>913</v>
      </c>
      <c r="P60" t="s">
        <v>854</v>
      </c>
    </row>
    <row r="61" spans="1:16">
      <c r="A61" t="s">
        <v>22</v>
      </c>
      <c r="B61" t="s">
        <v>23</v>
      </c>
      <c r="C61" t="s">
        <v>861</v>
      </c>
      <c r="E61" s="1">
        <v>24.0035081207375</v>
      </c>
      <c r="F61" s="1">
        <v>46.29189631943558</v>
      </c>
      <c r="G61" s="5">
        <v>11.11167909227911</v>
      </c>
      <c r="H61" s="1">
        <v>29.53007278408989</v>
      </c>
      <c r="I61" t="s">
        <v>852</v>
      </c>
      <c r="J61" t="s">
        <v>71</v>
      </c>
      <c r="L61" t="s">
        <v>41</v>
      </c>
      <c r="M61" t="s">
        <v>914</v>
      </c>
      <c r="P61" t="s">
        <v>854</v>
      </c>
    </row>
    <row r="62" spans="1:16">
      <c r="A62" t="s">
        <v>22</v>
      </c>
      <c r="B62" t="s">
        <v>23</v>
      </c>
      <c r="C62" t="s">
        <v>271</v>
      </c>
      <c r="E62" s="1">
        <v>12.43539999271013</v>
      </c>
      <c r="F62" s="1">
        <v>0.0447922917313992</v>
      </c>
      <c r="G62" s="5">
        <v>0.005570100642700581</v>
      </c>
      <c r="H62" s="1">
        <v>10.46221824570572</v>
      </c>
      <c r="I62" t="s">
        <v>852</v>
      </c>
      <c r="L62" t="s">
        <v>41</v>
      </c>
      <c r="M62" t="s">
        <v>915</v>
      </c>
      <c r="P62" t="s">
        <v>854</v>
      </c>
    </row>
    <row r="63" spans="1:16">
      <c r="A63" t="s">
        <v>22</v>
      </c>
      <c r="B63" t="s">
        <v>23</v>
      </c>
      <c r="C63" t="s">
        <v>864</v>
      </c>
      <c r="E63" s="1">
        <v>11.8583736907474</v>
      </c>
      <c r="F63" s="1">
        <v>140.2247982154273</v>
      </c>
      <c r="G63" s="5">
        <v>16.62838057948186</v>
      </c>
      <c r="H63" s="1">
        <v>23.95590038803862</v>
      </c>
      <c r="I63" t="s">
        <v>852</v>
      </c>
      <c r="J63" t="s">
        <v>79</v>
      </c>
      <c r="L63" t="s">
        <v>41</v>
      </c>
      <c r="M63" t="s">
        <v>916</v>
      </c>
      <c r="P63" t="s">
        <v>854</v>
      </c>
    </row>
    <row r="64" spans="1:16">
      <c r="A64" t="s">
        <v>22</v>
      </c>
      <c r="B64" t="s">
        <v>23</v>
      </c>
      <c r="G64" s="2">
        <v>6.119E-15</v>
      </c>
      <c r="I64" t="s">
        <v>57</v>
      </c>
      <c r="L64" t="s">
        <v>58</v>
      </c>
      <c r="M64" t="s">
        <v>917</v>
      </c>
      <c r="P64" t="s">
        <v>60</v>
      </c>
    </row>
    <row r="65" spans="1:16">
      <c r="A65" t="s">
        <v>22</v>
      </c>
      <c r="B65" t="s">
        <v>23</v>
      </c>
      <c r="C65" t="s">
        <v>61</v>
      </c>
      <c r="G65" s="6">
        <f>SUM(G56:G64)</f>
        <v>18.913310745159606</v>
      </c>
      <c r="I65" t="s">
        <v>64</v>
      </c>
      <c r="K65" s="1">
        <v>-5.854752830622212</v>
      </c>
      <c r="L65" t="s">
        <v>62</v>
      </c>
      <c r="M65" t="s">
        <v>918</v>
      </c>
      <c r="N65" s="1">
        <v>18.91331074515961</v>
      </c>
      <c r="O65" s="2">
        <f>G65-N65</f>
        <v>0</v>
      </c>
    </row>
    <row r="66" spans="1:16">
      <c r="A66" t="s">
        <v>24</v>
      </c>
      <c r="B66" t="s">
        <v>25</v>
      </c>
      <c r="C66" t="s">
        <v>246</v>
      </c>
      <c r="E66" s="1">
        <v>8.121355070102235</v>
      </c>
      <c r="F66" s="1">
        <v>40.28007834466136</v>
      </c>
      <c r="G66" s="5">
        <v>3.271288184885307</v>
      </c>
      <c r="H66" s="1">
        <v>9.576387481384739</v>
      </c>
      <c r="I66" t="s">
        <v>852</v>
      </c>
      <c r="J66" t="s">
        <v>69</v>
      </c>
      <c r="L66" t="s">
        <v>41</v>
      </c>
      <c r="M66" t="s">
        <v>919</v>
      </c>
      <c r="P66" t="s">
        <v>854</v>
      </c>
    </row>
    <row r="67" spans="1:16">
      <c r="A67" t="s">
        <v>24</v>
      </c>
      <c r="B67" t="s">
        <v>25</v>
      </c>
      <c r="C67" t="s">
        <v>855</v>
      </c>
      <c r="E67" s="1">
        <v>4.989042919286103</v>
      </c>
      <c r="F67" s="1">
        <v>-5.191275715138044</v>
      </c>
      <c r="G67" s="5">
        <v>-0.2589949734867133</v>
      </c>
      <c r="H67" s="1">
        <v>3.975966851649863</v>
      </c>
      <c r="I67" t="s">
        <v>852</v>
      </c>
      <c r="J67" t="s">
        <v>50</v>
      </c>
      <c r="L67" t="s">
        <v>41</v>
      </c>
      <c r="M67" t="s">
        <v>920</v>
      </c>
      <c r="P67" t="s">
        <v>854</v>
      </c>
    </row>
    <row r="68" spans="1:16">
      <c r="A68" t="s">
        <v>24</v>
      </c>
      <c r="B68" t="s">
        <v>25</v>
      </c>
      <c r="C68" t="s">
        <v>250</v>
      </c>
      <c r="E68" s="1">
        <v>4.6707492033542</v>
      </c>
      <c r="F68" s="1">
        <v>40.23458121626096</v>
      </c>
      <c r="G68" s="5">
        <v>1.879256381631407</v>
      </c>
      <c r="H68" s="1">
        <v>5.50578036046165</v>
      </c>
      <c r="I68" t="s">
        <v>852</v>
      </c>
      <c r="L68" t="s">
        <v>41</v>
      </c>
      <c r="M68" t="s">
        <v>921</v>
      </c>
      <c r="P68" t="s">
        <v>854</v>
      </c>
    </row>
    <row r="69" spans="1:16">
      <c r="A69" t="s">
        <v>24</v>
      </c>
      <c r="B69" t="s">
        <v>25</v>
      </c>
      <c r="C69" t="s">
        <v>858</v>
      </c>
      <c r="E69" s="1">
        <v>9.066093972975665</v>
      </c>
      <c r="F69" s="1">
        <v>6.381410883111815</v>
      </c>
      <c r="G69" s="5">
        <v>0.5785447074646143</v>
      </c>
      <c r="H69" s="1">
        <v>8.107056023316892</v>
      </c>
      <c r="I69" t="s">
        <v>852</v>
      </c>
      <c r="L69" t="s">
        <v>41</v>
      </c>
      <c r="M69" t="s">
        <v>922</v>
      </c>
      <c r="P69" t="s">
        <v>854</v>
      </c>
    </row>
    <row r="70" spans="1:16">
      <c r="A70" t="s">
        <v>24</v>
      </c>
      <c r="B70" t="s">
        <v>25</v>
      </c>
      <c r="C70" t="s">
        <v>264</v>
      </c>
      <c r="E70" s="1">
        <v>9.204567416447574</v>
      </c>
      <c r="F70" s="1">
        <v>19.92874473784674</v>
      </c>
      <c r="G70" s="5">
        <v>1.834354744646851</v>
      </c>
      <c r="H70" s="1">
        <v>9.279057864399075</v>
      </c>
      <c r="I70" t="s">
        <v>852</v>
      </c>
      <c r="L70" t="s">
        <v>41</v>
      </c>
      <c r="M70" t="s">
        <v>923</v>
      </c>
      <c r="P70" t="s">
        <v>854</v>
      </c>
    </row>
    <row r="71" spans="1:16">
      <c r="A71" t="s">
        <v>24</v>
      </c>
      <c r="B71" t="s">
        <v>25</v>
      </c>
      <c r="C71" t="s">
        <v>861</v>
      </c>
      <c r="E71" s="1">
        <v>29.53007278408989</v>
      </c>
      <c r="F71" s="1">
        <v>12.21466307638925</v>
      </c>
      <c r="G71" s="5">
        <v>3.606998896789098</v>
      </c>
      <c r="H71" s="1">
        <v>27.85424166385566</v>
      </c>
      <c r="I71" t="s">
        <v>852</v>
      </c>
      <c r="J71" t="s">
        <v>71</v>
      </c>
      <c r="L71" t="s">
        <v>41</v>
      </c>
      <c r="M71" t="s">
        <v>924</v>
      </c>
      <c r="P71" t="s">
        <v>854</v>
      </c>
    </row>
    <row r="72" spans="1:16">
      <c r="A72" t="s">
        <v>24</v>
      </c>
      <c r="B72" t="s">
        <v>25</v>
      </c>
      <c r="C72" t="s">
        <v>271</v>
      </c>
      <c r="E72" s="1">
        <v>10.46221824570572</v>
      </c>
      <c r="F72" s="1">
        <v>-1.46124357077172</v>
      </c>
      <c r="G72" s="5">
        <v>-0.1528784914754802</v>
      </c>
      <c r="H72" s="1">
        <v>8.665788083948957</v>
      </c>
      <c r="I72" t="s">
        <v>852</v>
      </c>
      <c r="J72" t="s">
        <v>45</v>
      </c>
      <c r="L72" t="s">
        <v>41</v>
      </c>
      <c r="M72" t="s">
        <v>925</v>
      </c>
      <c r="P72" t="s">
        <v>854</v>
      </c>
    </row>
    <row r="73" spans="1:16">
      <c r="A73" t="s">
        <v>24</v>
      </c>
      <c r="B73" t="s">
        <v>25</v>
      </c>
      <c r="C73" t="s">
        <v>864</v>
      </c>
      <c r="E73" s="1">
        <v>23.95590038803862</v>
      </c>
      <c r="F73" s="1">
        <v>34.2604987728806</v>
      </c>
      <c r="G73" s="5">
        <v>8.207410958476473</v>
      </c>
      <c r="H73" s="1">
        <v>27.03572167098316</v>
      </c>
      <c r="I73" t="s">
        <v>852</v>
      </c>
      <c r="J73" t="s">
        <v>79</v>
      </c>
      <c r="L73" t="s">
        <v>41</v>
      </c>
      <c r="M73" t="s">
        <v>926</v>
      </c>
      <c r="P73" t="s">
        <v>854</v>
      </c>
    </row>
    <row r="74" spans="1:16">
      <c r="A74" t="s">
        <v>24</v>
      </c>
      <c r="B74" t="s">
        <v>25</v>
      </c>
      <c r="G74" s="2">
        <v>3.4E-15</v>
      </c>
      <c r="I74" t="s">
        <v>57</v>
      </c>
      <c r="L74" t="s">
        <v>58</v>
      </c>
      <c r="M74" t="s">
        <v>927</v>
      </c>
      <c r="P74" t="s">
        <v>60</v>
      </c>
    </row>
    <row r="75" spans="1:16">
      <c r="A75" t="s">
        <v>24</v>
      </c>
      <c r="B75" t="s">
        <v>25</v>
      </c>
      <c r="C75" t="s">
        <v>61</v>
      </c>
      <c r="G75" s="6">
        <f>SUM(G66:G74)</f>
        <v>18.96598040893156</v>
      </c>
      <c r="I75" t="s">
        <v>64</v>
      </c>
      <c r="K75" s="1">
        <v>33.39705028056146</v>
      </c>
      <c r="L75" t="s">
        <v>62</v>
      </c>
      <c r="M75" t="s">
        <v>928</v>
      </c>
      <c r="N75" s="1">
        <v>18.96598040893156</v>
      </c>
      <c r="O75" s="2">
        <f>G75-N75</f>
        <v>0</v>
      </c>
    </row>
    <row r="76" spans="1:16">
      <c r="A76" t="s">
        <v>26</v>
      </c>
      <c r="B76" t="s">
        <v>27</v>
      </c>
      <c r="C76" t="s">
        <v>246</v>
      </c>
      <c r="E76" s="1">
        <v>9.576387481384739</v>
      </c>
      <c r="F76" s="1">
        <v>-22.31737506986514</v>
      </c>
      <c r="G76" s="5">
        <v>-2.137198312364244</v>
      </c>
      <c r="H76" s="1">
        <v>8.413944680056115</v>
      </c>
      <c r="I76" t="s">
        <v>852</v>
      </c>
      <c r="J76" t="s">
        <v>53</v>
      </c>
      <c r="L76" t="s">
        <v>41</v>
      </c>
      <c r="M76" t="s">
        <v>929</v>
      </c>
      <c r="P76" t="s">
        <v>854</v>
      </c>
    </row>
    <row r="77" spans="1:16">
      <c r="A77" t="s">
        <v>26</v>
      </c>
      <c r="B77" t="s">
        <v>27</v>
      </c>
      <c r="C77" t="s">
        <v>855</v>
      </c>
      <c r="E77" s="1">
        <v>3.975966851649863</v>
      </c>
      <c r="F77" s="1">
        <v>-5.637631545662691</v>
      </c>
      <c r="G77" s="5">
        <v>-0.2241503614737044</v>
      </c>
      <c r="H77" s="1">
        <v>4.243416275731156</v>
      </c>
      <c r="I77" t="s">
        <v>852</v>
      </c>
      <c r="L77" t="s">
        <v>41</v>
      </c>
      <c r="M77" t="s">
        <v>930</v>
      </c>
      <c r="P77" t="s">
        <v>854</v>
      </c>
    </row>
    <row r="78" spans="1:16">
      <c r="A78" t="s">
        <v>26</v>
      </c>
      <c r="B78" t="s">
        <v>27</v>
      </c>
      <c r="C78" t="s">
        <v>250</v>
      </c>
      <c r="E78" s="1">
        <v>5.50578036046165</v>
      </c>
      <c r="F78" s="1">
        <v>24.00177996962227</v>
      </c>
      <c r="G78" s="5">
        <v>1.32148528772868</v>
      </c>
      <c r="H78" s="1">
        <v>7.721840939216831</v>
      </c>
      <c r="I78" t="s">
        <v>852</v>
      </c>
      <c r="J78" t="s">
        <v>79</v>
      </c>
      <c r="L78" t="s">
        <v>41</v>
      </c>
      <c r="M78" t="s">
        <v>931</v>
      </c>
      <c r="P78" t="s">
        <v>854</v>
      </c>
    </row>
    <row r="79" spans="1:16">
      <c r="A79" t="s">
        <v>26</v>
      </c>
      <c r="B79" t="s">
        <v>27</v>
      </c>
      <c r="C79" t="s">
        <v>858</v>
      </c>
      <c r="E79" s="1">
        <v>8.107056023316892</v>
      </c>
      <c r="F79" s="1">
        <v>15.45682425210637</v>
      </c>
      <c r="G79" s="5">
        <v>1.253093401543895</v>
      </c>
      <c r="H79" s="1">
        <v>10.58660798488706</v>
      </c>
      <c r="I79" t="s">
        <v>852</v>
      </c>
      <c r="J79" t="s">
        <v>71</v>
      </c>
      <c r="L79" t="s">
        <v>41</v>
      </c>
      <c r="M79" t="s">
        <v>932</v>
      </c>
      <c r="P79" t="s">
        <v>854</v>
      </c>
    </row>
    <row r="80" spans="1:16">
      <c r="A80" t="s">
        <v>26</v>
      </c>
      <c r="B80" t="s">
        <v>27</v>
      </c>
      <c r="C80" t="s">
        <v>264</v>
      </c>
      <c r="D80" t="s">
        <v>433</v>
      </c>
      <c r="E80" s="1">
        <v>9.279057864399075</v>
      </c>
      <c r="F80" s="1">
        <v>-14.77280235434505</v>
      </c>
      <c r="G80" s="5">
        <v>-1.370776878652986</v>
      </c>
      <c r="H80" s="1">
        <v>8.944501506360863</v>
      </c>
      <c r="I80" t="s">
        <v>852</v>
      </c>
      <c r="L80" t="s">
        <v>41</v>
      </c>
      <c r="M80" t="s">
        <v>933</v>
      </c>
      <c r="P80" t="s">
        <v>854</v>
      </c>
    </row>
    <row r="81" spans="1:16">
      <c r="A81" t="s">
        <v>26</v>
      </c>
      <c r="B81" t="s">
        <v>27</v>
      </c>
      <c r="C81" t="s">
        <v>861</v>
      </c>
      <c r="E81" s="1">
        <v>27.85424166385567</v>
      </c>
      <c r="F81" s="1">
        <v>-21.61094979111369</v>
      </c>
      <c r="G81" s="5">
        <v>-6.019566180671318</v>
      </c>
      <c r="H81" s="1">
        <v>24.69566876825101</v>
      </c>
      <c r="I81" t="s">
        <v>852</v>
      </c>
      <c r="J81" t="s">
        <v>50</v>
      </c>
      <c r="L81" t="s">
        <v>41</v>
      </c>
      <c r="M81" t="s">
        <v>934</v>
      </c>
      <c r="P81" t="s">
        <v>854</v>
      </c>
    </row>
    <row r="82" spans="1:16">
      <c r="A82" t="s">
        <v>26</v>
      </c>
      <c r="B82" t="s">
        <v>27</v>
      </c>
      <c r="C82" t="s">
        <v>271</v>
      </c>
      <c r="E82" s="1">
        <v>8.665788083948957</v>
      </c>
      <c r="F82" s="1">
        <v>12.36790745033198</v>
      </c>
      <c r="G82" s="5">
        <v>1.071776650064703</v>
      </c>
      <c r="H82" s="1">
        <v>11.01347594864886</v>
      </c>
      <c r="I82" t="s">
        <v>852</v>
      </c>
      <c r="J82" t="s">
        <v>69</v>
      </c>
      <c r="L82" t="s">
        <v>41</v>
      </c>
      <c r="M82" t="s">
        <v>935</v>
      </c>
      <c r="P82" t="s">
        <v>854</v>
      </c>
    </row>
    <row r="83" spans="1:16">
      <c r="A83" t="s">
        <v>26</v>
      </c>
      <c r="B83" t="s">
        <v>27</v>
      </c>
      <c r="C83" t="s">
        <v>864</v>
      </c>
      <c r="E83" s="1">
        <v>27.03572167098316</v>
      </c>
      <c r="F83" s="1">
        <v>-20.26823588729059</v>
      </c>
      <c r="G83" s="5">
        <v>-5.479663842106209</v>
      </c>
      <c r="H83" s="1">
        <v>24.38054389684812</v>
      </c>
      <c r="I83" t="s">
        <v>852</v>
      </c>
      <c r="J83" t="s">
        <v>45</v>
      </c>
      <c r="L83" t="s">
        <v>41</v>
      </c>
      <c r="M83" t="s">
        <v>936</v>
      </c>
      <c r="P83" t="s">
        <v>854</v>
      </c>
    </row>
    <row r="84" spans="1:16">
      <c r="A84" t="s">
        <v>26</v>
      </c>
      <c r="B84" t="s">
        <v>27</v>
      </c>
      <c r="G84" s="2">
        <v>-3.6E-15</v>
      </c>
      <c r="I84" t="s">
        <v>57</v>
      </c>
      <c r="L84" t="s">
        <v>58</v>
      </c>
      <c r="M84" t="s">
        <v>937</v>
      </c>
      <c r="P84" t="s">
        <v>60</v>
      </c>
    </row>
    <row r="85" spans="1:16">
      <c r="A85" t="s">
        <v>26</v>
      </c>
      <c r="B85" t="s">
        <v>27</v>
      </c>
      <c r="C85" t="s">
        <v>61</v>
      </c>
      <c r="G85" s="6">
        <f>SUM(G76:G84)</f>
        <v>-11.585000235931187</v>
      </c>
      <c r="I85" t="s">
        <v>64</v>
      </c>
      <c r="K85" s="1">
        <v>-22.28654577550484</v>
      </c>
      <c r="L85" t="s">
        <v>62</v>
      </c>
      <c r="M85" t="s">
        <v>938</v>
      </c>
      <c r="N85" s="1">
        <v>-11.58500023593119</v>
      </c>
      <c r="O85" s="2">
        <f>G85-N85</f>
        <v>0</v>
      </c>
    </row>
    <row r="86" spans="1:16">
      <c r="A86" t="s">
        <v>28</v>
      </c>
      <c r="B86" t="s">
        <v>29</v>
      </c>
      <c r="C86" t="s">
        <v>246</v>
      </c>
      <c r="E86" s="1">
        <v>8.413944680056115</v>
      </c>
      <c r="F86" s="1">
        <v>2.134770492490601</v>
      </c>
      <c r="G86" s="5">
        <v>0.1796184082843204</v>
      </c>
      <c r="H86" s="1">
        <v>6.255663158072876</v>
      </c>
      <c r="I86" t="s">
        <v>939</v>
      </c>
      <c r="L86" t="s">
        <v>41</v>
      </c>
      <c r="M86" t="s">
        <v>940</v>
      </c>
      <c r="P86" t="s">
        <v>854</v>
      </c>
    </row>
    <row r="87" spans="1:16">
      <c r="A87" t="s">
        <v>28</v>
      </c>
      <c r="B87" t="s">
        <v>29</v>
      </c>
      <c r="C87" t="s">
        <v>855</v>
      </c>
      <c r="E87" s="1">
        <v>4.243416275731156</v>
      </c>
      <c r="F87" s="1">
        <v>15.01687982187714</v>
      </c>
      <c r="G87" s="5">
        <v>0.6372287224685222</v>
      </c>
      <c r="H87" s="1">
        <v>3.55285354735978</v>
      </c>
      <c r="I87" t="s">
        <v>939</v>
      </c>
      <c r="L87" t="s">
        <v>41</v>
      </c>
      <c r="M87" t="s">
        <v>941</v>
      </c>
      <c r="P87" t="s">
        <v>854</v>
      </c>
    </row>
    <row r="88" spans="1:16">
      <c r="A88" t="s">
        <v>28</v>
      </c>
      <c r="B88" t="s">
        <v>29</v>
      </c>
      <c r="C88" t="s">
        <v>250</v>
      </c>
      <c r="E88" s="1">
        <v>7.72184093921683</v>
      </c>
      <c r="F88" s="1">
        <v>33.82425618057039</v>
      </c>
      <c r="G88" s="5">
        <v>2.611855261136864</v>
      </c>
      <c r="H88" s="1">
        <v>7.522388785971449</v>
      </c>
      <c r="I88" t="s">
        <v>939</v>
      </c>
      <c r="L88" t="s">
        <v>41</v>
      </c>
      <c r="M88" t="s">
        <v>942</v>
      </c>
      <c r="P88" t="s">
        <v>854</v>
      </c>
    </row>
    <row r="89" spans="1:16">
      <c r="A89" t="s">
        <v>28</v>
      </c>
      <c r="B89" t="s">
        <v>29</v>
      </c>
      <c r="C89" t="s">
        <v>858</v>
      </c>
      <c r="E89" s="1">
        <v>10.58660798488706</v>
      </c>
      <c r="F89" s="1">
        <v>23.59434726117124</v>
      </c>
      <c r="G89" s="5">
        <v>2.497841051133136</v>
      </c>
      <c r="H89" s="1">
        <v>9.52479256123326</v>
      </c>
      <c r="I89" t="s">
        <v>939</v>
      </c>
      <c r="L89" t="s">
        <v>41</v>
      </c>
      <c r="M89" t="s">
        <v>943</v>
      </c>
      <c r="P89" t="s">
        <v>854</v>
      </c>
    </row>
    <row r="90" spans="1:16">
      <c r="A90" t="s">
        <v>28</v>
      </c>
      <c r="B90" t="s">
        <v>29</v>
      </c>
      <c r="C90" t="s">
        <v>264</v>
      </c>
      <c r="E90" s="1">
        <v>8.174982599012372</v>
      </c>
      <c r="F90" s="1">
        <v>33.10899929796711</v>
      </c>
      <c r="G90" s="5">
        <v>2.70665493131594</v>
      </c>
      <c r="H90" s="1">
        <v>7.92126133225651</v>
      </c>
      <c r="I90" t="s">
        <v>939</v>
      </c>
      <c r="J90" t="s">
        <v>69</v>
      </c>
      <c r="L90" t="s">
        <v>41</v>
      </c>
      <c r="M90" t="s">
        <v>944</v>
      </c>
      <c r="P90" t="s">
        <v>854</v>
      </c>
    </row>
    <row r="91" spans="1:16">
      <c r="A91" t="s">
        <v>28</v>
      </c>
      <c r="B91" t="s">
        <v>29</v>
      </c>
      <c r="C91" t="s">
        <v>861</v>
      </c>
      <c r="E91" s="1">
        <v>24.69566876825101</v>
      </c>
      <c r="F91" s="1">
        <v>62.47155135136153</v>
      </c>
      <c r="G91" s="5">
        <v>15.42776739612008</v>
      </c>
      <c r="H91" s="1">
        <v>29.20775687669004</v>
      </c>
      <c r="I91" t="s">
        <v>939</v>
      </c>
      <c r="J91" t="s">
        <v>79</v>
      </c>
      <c r="L91" t="s">
        <v>41</v>
      </c>
      <c r="M91" t="s">
        <v>945</v>
      </c>
      <c r="P91" t="s">
        <v>854</v>
      </c>
    </row>
    <row r="92" spans="1:16">
      <c r="A92" t="s">
        <v>28</v>
      </c>
      <c r="B92" t="s">
        <v>29</v>
      </c>
      <c r="C92" t="s">
        <v>271</v>
      </c>
      <c r="E92" s="1">
        <v>11.01347594864885</v>
      </c>
      <c r="F92" s="1">
        <v>19.65555670309582</v>
      </c>
      <c r="G92" s="5">
        <v>2.164760010068496</v>
      </c>
      <c r="H92" s="1">
        <v>9.593064521419556</v>
      </c>
      <c r="I92" t="s">
        <v>939</v>
      </c>
      <c r="L92" t="s">
        <v>41</v>
      </c>
      <c r="M92" t="s">
        <v>946</v>
      </c>
      <c r="P92" t="s">
        <v>854</v>
      </c>
    </row>
    <row r="93" spans="1:16">
      <c r="A93" t="s">
        <v>28</v>
      </c>
      <c r="B93" t="s">
        <v>29</v>
      </c>
      <c r="C93" t="s">
        <v>864</v>
      </c>
      <c r="E93" s="1">
        <v>24.38054389684812</v>
      </c>
      <c r="F93" s="1">
        <v>45.1192250918264</v>
      </c>
      <c r="G93" s="5">
        <v>11.00031247943044</v>
      </c>
      <c r="H93" s="1">
        <v>25.75540756015981</v>
      </c>
      <c r="I93" t="s">
        <v>939</v>
      </c>
      <c r="J93" t="s">
        <v>71</v>
      </c>
      <c r="L93" t="s">
        <v>41</v>
      </c>
      <c r="M93" t="s">
        <v>947</v>
      </c>
      <c r="P93" t="s">
        <v>854</v>
      </c>
    </row>
    <row r="94" spans="1:16">
      <c r="A94" t="s">
        <v>28</v>
      </c>
      <c r="B94" t="s">
        <v>29</v>
      </c>
      <c r="C94" t="s">
        <v>433</v>
      </c>
      <c r="E94" s="1">
        <v>0.7695189073484914</v>
      </c>
      <c r="F94" s="1">
        <v>19.0375013279507</v>
      </c>
      <c r="G94" s="5">
        <v>0.1464971722053009</v>
      </c>
      <c r="H94" s="1">
        <v>0.6668116568367018</v>
      </c>
      <c r="I94" t="s">
        <v>939</v>
      </c>
      <c r="L94" t="s">
        <v>41</v>
      </c>
      <c r="M94" t="s">
        <v>948</v>
      </c>
      <c r="P94" t="s">
        <v>854</v>
      </c>
    </row>
    <row r="95" spans="1:16">
      <c r="A95" t="s">
        <v>28</v>
      </c>
      <c r="B95" t="s">
        <v>29</v>
      </c>
      <c r="G95" s="2">
        <v>2.003E-14</v>
      </c>
      <c r="I95" t="s">
        <v>57</v>
      </c>
      <c r="L95" t="s">
        <v>58</v>
      </c>
      <c r="M95" t="s">
        <v>949</v>
      </c>
      <c r="P95" t="s">
        <v>60</v>
      </c>
    </row>
    <row r="96" spans="1:16">
      <c r="A96" t="s">
        <v>28</v>
      </c>
      <c r="B96" t="s">
        <v>29</v>
      </c>
      <c r="C96" t="s">
        <v>61</v>
      </c>
      <c r="G96" s="6">
        <f>SUM(G86:G95)</f>
        <v>37.372535432163126</v>
      </c>
      <c r="I96" t="s">
        <v>64</v>
      </c>
      <c r="K96" s="1">
        <v>19.83424318272573</v>
      </c>
      <c r="L96" t="s">
        <v>62</v>
      </c>
      <c r="M96" t="s">
        <v>950</v>
      </c>
      <c r="N96" s="1">
        <v>37.37253543216313</v>
      </c>
      <c r="O96" s="2">
        <f>G96-N96</f>
        <v>0</v>
      </c>
    </row>
    <row r="97" spans="1:16">
      <c r="A97" t="s">
        <v>30</v>
      </c>
      <c r="B97" t="s">
        <v>31</v>
      </c>
      <c r="C97" t="s">
        <v>246</v>
      </c>
      <c r="E97" s="1">
        <v>6.255663158072876</v>
      </c>
      <c r="F97" s="1">
        <v>-17.91282263417232</v>
      </c>
      <c r="G97" s="5">
        <v>-1.120565846096857</v>
      </c>
      <c r="H97" s="1">
        <v>5.272596268120656</v>
      </c>
      <c r="I97" t="s">
        <v>939</v>
      </c>
      <c r="J97" t="s">
        <v>53</v>
      </c>
      <c r="L97" t="s">
        <v>41</v>
      </c>
      <c r="M97" t="s">
        <v>951</v>
      </c>
      <c r="P97" t="s">
        <v>854</v>
      </c>
    </row>
    <row r="98" spans="1:16">
      <c r="A98" t="s">
        <v>30</v>
      </c>
      <c r="B98" t="s">
        <v>31</v>
      </c>
      <c r="C98" t="s">
        <v>855</v>
      </c>
      <c r="E98" s="1">
        <v>3.55285354735978</v>
      </c>
      <c r="F98" s="1">
        <v>-14.30491101783025</v>
      </c>
      <c r="G98" s="5">
        <v>-0.5082325385436418</v>
      </c>
      <c r="H98" s="1">
        <v>3.126144723973769</v>
      </c>
      <c r="I98" t="s">
        <v>939</v>
      </c>
      <c r="L98" t="s">
        <v>41</v>
      </c>
      <c r="M98" t="s">
        <v>952</v>
      </c>
      <c r="P98" t="s">
        <v>854</v>
      </c>
    </row>
    <row r="99" spans="1:16">
      <c r="A99" t="s">
        <v>30</v>
      </c>
      <c r="B99" t="s">
        <v>31</v>
      </c>
      <c r="C99" t="s">
        <v>250</v>
      </c>
      <c r="E99" s="1">
        <v>7.52238878597145</v>
      </c>
      <c r="F99" s="1">
        <v>5.952973740132661</v>
      </c>
      <c r="G99" s="5">
        <v>0.447805829059565</v>
      </c>
      <c r="H99" s="1">
        <v>8.183607014691004</v>
      </c>
      <c r="I99" t="s">
        <v>939</v>
      </c>
      <c r="J99" t="s">
        <v>69</v>
      </c>
      <c r="L99" t="s">
        <v>41</v>
      </c>
      <c r="M99" t="s">
        <v>953</v>
      </c>
      <c r="P99" t="s">
        <v>854</v>
      </c>
    </row>
    <row r="100" spans="1:16">
      <c r="A100" t="s">
        <v>30</v>
      </c>
      <c r="B100" t="s">
        <v>31</v>
      </c>
      <c r="C100" t="s">
        <v>858</v>
      </c>
      <c r="E100" s="1">
        <v>9.52479256123326</v>
      </c>
      <c r="F100" s="1">
        <v>-34.92087783504198</v>
      </c>
      <c r="G100" s="5">
        <v>-3.326141174349434</v>
      </c>
      <c r="H100" s="1">
        <v>6.364628396358077</v>
      </c>
      <c r="I100" t="s">
        <v>939</v>
      </c>
      <c r="J100" t="s">
        <v>45</v>
      </c>
      <c r="L100" t="s">
        <v>41</v>
      </c>
      <c r="M100" t="s">
        <v>954</v>
      </c>
      <c r="P100" t="s">
        <v>854</v>
      </c>
    </row>
    <row r="101" spans="1:16">
      <c r="A101" t="s">
        <v>30</v>
      </c>
      <c r="B101" t="s">
        <v>31</v>
      </c>
      <c r="C101" t="s">
        <v>264</v>
      </c>
      <c r="E101" s="1">
        <v>7.92126133225651</v>
      </c>
      <c r="F101" s="1">
        <v>22.55341877816102</v>
      </c>
      <c r="G101" s="5">
        <v>1.786515240776348</v>
      </c>
      <c r="H101" s="1">
        <v>9.967715005390186</v>
      </c>
      <c r="I101" t="s">
        <v>939</v>
      </c>
      <c r="J101" t="s">
        <v>71</v>
      </c>
      <c r="L101" t="s">
        <v>41</v>
      </c>
      <c r="M101" t="s">
        <v>955</v>
      </c>
      <c r="P101" t="s">
        <v>854</v>
      </c>
    </row>
    <row r="102" spans="1:16">
      <c r="A102" t="s">
        <v>30</v>
      </c>
      <c r="B102" t="s">
        <v>31</v>
      </c>
      <c r="C102" t="s">
        <v>861</v>
      </c>
      <c r="E102" s="1">
        <v>29.20775687669004</v>
      </c>
      <c r="F102" s="1">
        <v>-12.27363619163323</v>
      </c>
      <c r="G102" s="5">
        <v>-3.584853818781672</v>
      </c>
      <c r="H102" s="1">
        <v>26.30898984649582</v>
      </c>
      <c r="I102" t="s">
        <v>939</v>
      </c>
      <c r="J102" t="s">
        <v>50</v>
      </c>
      <c r="L102" t="s">
        <v>41</v>
      </c>
      <c r="M102" t="s">
        <v>956</v>
      </c>
      <c r="P102" t="s">
        <v>854</v>
      </c>
    </row>
    <row r="103" spans="1:16">
      <c r="A103" t="s">
        <v>30</v>
      </c>
      <c r="B103" t="s">
        <v>31</v>
      </c>
      <c r="C103" t="s">
        <v>271</v>
      </c>
      <c r="E103" s="1">
        <v>9.593064521419556</v>
      </c>
      <c r="F103" s="1">
        <v>2.44808504953089</v>
      </c>
      <c r="G103" s="5">
        <v>0.2348463783407251</v>
      </c>
      <c r="H103" s="1">
        <v>10.09106608605987</v>
      </c>
      <c r="I103" t="s">
        <v>939</v>
      </c>
      <c r="L103" t="s">
        <v>41</v>
      </c>
      <c r="M103" t="s">
        <v>957</v>
      </c>
      <c r="P103" t="s">
        <v>854</v>
      </c>
    </row>
    <row r="104" spans="1:16">
      <c r="A104" t="s">
        <v>30</v>
      </c>
      <c r="B104" t="s">
        <v>31</v>
      </c>
      <c r="C104" t="s">
        <v>864</v>
      </c>
      <c r="E104" s="1">
        <v>25.75540756015982</v>
      </c>
      <c r="F104" s="1">
        <v>13.64716611018235</v>
      </c>
      <c r="G104" s="5">
        <v>3.514883252089474</v>
      </c>
      <c r="H104" s="1">
        <v>30.05404118507047</v>
      </c>
      <c r="I104" t="s">
        <v>939</v>
      </c>
      <c r="J104" t="s">
        <v>79</v>
      </c>
      <c r="L104" t="s">
        <v>41</v>
      </c>
      <c r="M104" t="s">
        <v>958</v>
      </c>
      <c r="P104" t="s">
        <v>854</v>
      </c>
    </row>
    <row r="105" spans="1:16">
      <c r="A105" t="s">
        <v>30</v>
      </c>
      <c r="B105" t="s">
        <v>31</v>
      </c>
      <c r="C105" t="s">
        <v>433</v>
      </c>
      <c r="E105" s="1">
        <v>0.666811656836702</v>
      </c>
      <c r="F105" s="1">
        <v>-7.807442791840947</v>
      </c>
      <c r="G105" s="5">
        <v>-0.05206093863685229</v>
      </c>
      <c r="H105" s="1">
        <v>0.6312114738401586</v>
      </c>
      <c r="I105" t="s">
        <v>939</v>
      </c>
      <c r="L105" t="s">
        <v>41</v>
      </c>
      <c r="M105" t="s">
        <v>959</v>
      </c>
      <c r="P105" t="s">
        <v>854</v>
      </c>
    </row>
    <row r="106" spans="1:16">
      <c r="A106" t="s">
        <v>30</v>
      </c>
      <c r="B106" t="s">
        <v>31</v>
      </c>
      <c r="G106" s="2">
        <v>-6.1E-16</v>
      </c>
      <c r="I106" t="s">
        <v>57</v>
      </c>
      <c r="L106" t="s">
        <v>58</v>
      </c>
      <c r="M106" t="s">
        <v>960</v>
      </c>
      <c r="P106" t="s">
        <v>60</v>
      </c>
    </row>
    <row r="107" spans="1:16">
      <c r="A107" t="s">
        <v>30</v>
      </c>
      <c r="B107" t="s">
        <v>31</v>
      </c>
      <c r="C107" t="s">
        <v>61</v>
      </c>
      <c r="G107" s="6">
        <f>SUM(G97:G106)</f>
        <v>-2.6078036161423457</v>
      </c>
      <c r="I107" t="s">
        <v>64</v>
      </c>
      <c r="K107" s="1">
        <v>4.928188538958578</v>
      </c>
      <c r="L107" t="s">
        <v>62</v>
      </c>
      <c r="M107" t="s">
        <v>961</v>
      </c>
      <c r="N107" s="1">
        <v>-2.607803616142346</v>
      </c>
      <c r="O107" s="2">
        <f>G107-N107</f>
        <v>0</v>
      </c>
    </row>
    <row r="108" spans="1:16">
      <c r="A108" t="s">
        <v>32</v>
      </c>
      <c r="B108" t="s">
        <v>33</v>
      </c>
      <c r="C108" t="s">
        <v>246</v>
      </c>
      <c r="E108" s="1">
        <v>5.272596268120655</v>
      </c>
      <c r="F108" s="1">
        <v>46.43465611901634</v>
      </c>
      <c r="G108" s="5">
        <v>2.448311945645914</v>
      </c>
      <c r="H108" s="1">
        <v>7.735354558817947</v>
      </c>
      <c r="I108" t="s">
        <v>939</v>
      </c>
      <c r="J108" t="s">
        <v>71</v>
      </c>
      <c r="L108" t="s">
        <v>41</v>
      </c>
      <c r="M108" t="s">
        <v>962</v>
      </c>
      <c r="P108" t="s">
        <v>854</v>
      </c>
    </row>
    <row r="109" spans="1:16">
      <c r="A109" t="s">
        <v>32</v>
      </c>
      <c r="B109" t="s">
        <v>33</v>
      </c>
      <c r="C109" t="s">
        <v>855</v>
      </c>
      <c r="E109" s="1">
        <v>3.126144723973769</v>
      </c>
      <c r="F109" s="1">
        <v>21.41400719074147</v>
      </c>
      <c r="G109" s="5">
        <v>0.6694328559847276</v>
      </c>
      <c r="H109" s="1">
        <v>3.802679364084305</v>
      </c>
      <c r="I109" t="s">
        <v>939</v>
      </c>
      <c r="L109" t="s">
        <v>41</v>
      </c>
      <c r="M109" t="s">
        <v>963</v>
      </c>
      <c r="P109" t="s">
        <v>854</v>
      </c>
    </row>
    <row r="110" spans="1:16">
      <c r="A110" t="s">
        <v>32</v>
      </c>
      <c r="B110" t="s">
        <v>33</v>
      </c>
      <c r="C110" t="s">
        <v>250</v>
      </c>
      <c r="E110" s="1">
        <v>8.183607014691004</v>
      </c>
      <c r="F110" s="1">
        <v>21.73373205018183</v>
      </c>
      <c r="G110" s="5">
        <v>1.778603220612828</v>
      </c>
      <c r="H110" s="1">
        <v>9.980850209067146</v>
      </c>
      <c r="I110" t="s">
        <v>939</v>
      </c>
      <c r="J110" t="s">
        <v>69</v>
      </c>
      <c r="L110" t="s">
        <v>41</v>
      </c>
      <c r="M110" t="s">
        <v>964</v>
      </c>
      <c r="P110" t="s">
        <v>854</v>
      </c>
    </row>
    <row r="111" spans="1:16">
      <c r="A111" t="s">
        <v>32</v>
      </c>
      <c r="B111" t="s">
        <v>33</v>
      </c>
      <c r="C111" t="s">
        <v>858</v>
      </c>
      <c r="E111" s="1">
        <v>6.364628396358077</v>
      </c>
      <c r="F111" s="1">
        <v>-0.1814967195728268</v>
      </c>
      <c r="G111" s="5">
        <v>-0.01155159175239047</v>
      </c>
      <c r="H111" s="1">
        <v>6.364963843943051</v>
      </c>
      <c r="I111" t="s">
        <v>939</v>
      </c>
      <c r="J111" t="s">
        <v>45</v>
      </c>
      <c r="L111" t="s">
        <v>41</v>
      </c>
      <c r="M111" t="s">
        <v>965</v>
      </c>
      <c r="P111" t="s">
        <v>854</v>
      </c>
    </row>
    <row r="112" spans="1:16">
      <c r="A112" t="s">
        <v>32</v>
      </c>
      <c r="B112" t="s">
        <v>33</v>
      </c>
      <c r="C112" t="s">
        <v>264</v>
      </c>
      <c r="E112" s="1">
        <v>9.967715005390188</v>
      </c>
      <c r="F112" s="1">
        <v>35.7304797896044</v>
      </c>
      <c r="G112" s="5">
        <v>3.561512395486305</v>
      </c>
      <c r="H112" s="1">
        <v>13.55454150666564</v>
      </c>
      <c r="I112" t="s">
        <v>939</v>
      </c>
      <c r="J112" t="s">
        <v>79</v>
      </c>
      <c r="L112" t="s">
        <v>41</v>
      </c>
      <c r="M112" t="s">
        <v>966</v>
      </c>
      <c r="P112" t="s">
        <v>854</v>
      </c>
    </row>
    <row r="113" spans="1:16">
      <c r="A113" t="s">
        <v>32</v>
      </c>
      <c r="B113" t="s">
        <v>33</v>
      </c>
      <c r="C113" t="s">
        <v>861</v>
      </c>
      <c r="E113" s="1">
        <v>26.30898984649581</v>
      </c>
      <c r="F113" s="1">
        <v>-40.15213894850957</v>
      </c>
      <c r="G113" s="5">
        <v>-10.56362215911428</v>
      </c>
      <c r="H113" s="1">
        <v>15.7748283425629</v>
      </c>
      <c r="I113" t="s">
        <v>939</v>
      </c>
      <c r="J113" t="s">
        <v>50</v>
      </c>
      <c r="L113" t="s">
        <v>41</v>
      </c>
      <c r="M113" t="s">
        <v>967</v>
      </c>
      <c r="P113" t="s">
        <v>854</v>
      </c>
    </row>
    <row r="114" spans="1:16">
      <c r="A114" t="s">
        <v>32</v>
      </c>
      <c r="B114" t="s">
        <v>33</v>
      </c>
      <c r="C114" t="s">
        <v>271</v>
      </c>
      <c r="E114" s="1">
        <v>10.09106608605987</v>
      </c>
      <c r="F114" s="1">
        <v>8.260846981202107</v>
      </c>
      <c r="G114" s="5">
        <v>0.8336075281413857</v>
      </c>
      <c r="H114" s="1">
        <v>10.94511442248894</v>
      </c>
      <c r="I114" t="s">
        <v>939</v>
      </c>
      <c r="L114" t="s">
        <v>41</v>
      </c>
      <c r="M114" t="s">
        <v>968</v>
      </c>
      <c r="P114" t="s">
        <v>854</v>
      </c>
    </row>
    <row r="115" spans="1:16">
      <c r="A115" t="s">
        <v>32</v>
      </c>
      <c r="B115" t="s">
        <v>33</v>
      </c>
      <c r="C115" t="s">
        <v>864</v>
      </c>
      <c r="E115" s="1">
        <v>30.05404118507047</v>
      </c>
      <c r="F115" s="1">
        <v>3.278848632436038</v>
      </c>
      <c r="G115" s="5">
        <v>0.9854265183884473</v>
      </c>
      <c r="H115" s="1">
        <v>31.0975446612779</v>
      </c>
      <c r="I115" t="s">
        <v>939</v>
      </c>
      <c r="L115" t="s">
        <v>41</v>
      </c>
      <c r="M115" t="s">
        <v>969</v>
      </c>
      <c r="P115" t="s">
        <v>854</v>
      </c>
    </row>
    <row r="116" spans="1:16">
      <c r="A116" t="s">
        <v>32</v>
      </c>
      <c r="B116" t="s">
        <v>33</v>
      </c>
      <c r="C116" t="s">
        <v>433</v>
      </c>
      <c r="E116" s="1">
        <v>0.6312114738401587</v>
      </c>
      <c r="F116" s="1">
        <v>17.66791592499784</v>
      </c>
      <c r="G116" s="5">
        <v>0.111521912507019</v>
      </c>
      <c r="H116" s="1">
        <v>0.7441230910921733</v>
      </c>
      <c r="I116" t="s">
        <v>939</v>
      </c>
      <c r="L116" t="s">
        <v>41</v>
      </c>
      <c r="M116" t="s">
        <v>970</v>
      </c>
      <c r="P116" t="s">
        <v>854</v>
      </c>
    </row>
    <row r="117" spans="1:16">
      <c r="A117" t="s">
        <v>32</v>
      </c>
      <c r="B117" t="s">
        <v>33</v>
      </c>
      <c r="G117" s="2">
        <v>6.513E-15</v>
      </c>
      <c r="I117" t="s">
        <v>57</v>
      </c>
      <c r="L117" t="s">
        <v>58</v>
      </c>
      <c r="M117" t="s">
        <v>971</v>
      </c>
      <c r="P117" t="s">
        <v>60</v>
      </c>
    </row>
    <row r="118" spans="1:16">
      <c r="A118" t="s">
        <v>32</v>
      </c>
      <c r="B118" t="s">
        <v>33</v>
      </c>
      <c r="C118" t="s">
        <v>61</v>
      </c>
      <c r="G118" s="6">
        <f>SUM(G108:G117)</f>
        <v>-0.1867573741000328</v>
      </c>
      <c r="I118" t="s">
        <v>64</v>
      </c>
      <c r="K118" s="1">
        <v>12.06397079089039</v>
      </c>
      <c r="L118" t="s">
        <v>62</v>
      </c>
      <c r="M118" t="s">
        <v>972</v>
      </c>
      <c r="N118" s="1">
        <v>-0.1867573741000328</v>
      </c>
      <c r="O118" s="2">
        <f>G118-N118</f>
        <v>0</v>
      </c>
    </row>
    <row r="119" spans="1:16">
      <c r="A119" t="s">
        <v>34</v>
      </c>
      <c r="B119" t="s">
        <v>35</v>
      </c>
      <c r="C119" t="s">
        <v>246</v>
      </c>
      <c r="E119" s="1">
        <v>7.735354558817946</v>
      </c>
      <c r="F119" s="1">
        <v>16.87478780970299</v>
      </c>
      <c r="G119" s="5">
        <v>1.305324668128717</v>
      </c>
      <c r="H119" s="1">
        <v>8.02848721866342</v>
      </c>
      <c r="I119" t="s">
        <v>939</v>
      </c>
      <c r="L119" t="s">
        <v>41</v>
      </c>
      <c r="M119" t="s">
        <v>973</v>
      </c>
      <c r="P119" t="s">
        <v>854</v>
      </c>
    </row>
    <row r="120" spans="1:16">
      <c r="A120" t="s">
        <v>34</v>
      </c>
      <c r="B120" t="s">
        <v>35</v>
      </c>
      <c r="C120" t="s">
        <v>855</v>
      </c>
      <c r="E120" s="1">
        <v>3.802679364084305</v>
      </c>
      <c r="F120" s="1">
        <v>8.929609488424628</v>
      </c>
      <c r="G120" s="5">
        <v>0.3395644173096378</v>
      </c>
      <c r="H120" s="1">
        <v>3.678479284652259</v>
      </c>
      <c r="I120" t="s">
        <v>939</v>
      </c>
      <c r="L120" t="s">
        <v>41</v>
      </c>
      <c r="M120" t="s">
        <v>974</v>
      </c>
      <c r="P120" t="s">
        <v>854</v>
      </c>
    </row>
    <row r="121" spans="1:16">
      <c r="A121" t="s">
        <v>34</v>
      </c>
      <c r="B121" t="s">
        <v>35</v>
      </c>
      <c r="C121" t="s">
        <v>250</v>
      </c>
      <c r="E121" s="1">
        <v>9.980850209067144</v>
      </c>
      <c r="F121" s="1">
        <v>7.096022013324554</v>
      </c>
      <c r="G121" s="5">
        <v>0.7082433279523542</v>
      </c>
      <c r="H121" s="1">
        <v>9.492345507102142</v>
      </c>
      <c r="I121" t="s">
        <v>939</v>
      </c>
      <c r="L121" t="s">
        <v>41</v>
      </c>
      <c r="M121" t="s">
        <v>975</v>
      </c>
      <c r="P121" t="s">
        <v>854</v>
      </c>
    </row>
    <row r="122" spans="1:16">
      <c r="A122" t="s">
        <v>34</v>
      </c>
      <c r="B122" t="s">
        <v>35</v>
      </c>
      <c r="C122" t="s">
        <v>858</v>
      </c>
      <c r="E122" s="1">
        <v>6.364963843943052</v>
      </c>
      <c r="F122" s="1">
        <v>-19.6364951174525</v>
      </c>
      <c r="G122" s="5">
        <v>-1.249855814443494</v>
      </c>
      <c r="H122" s="1">
        <v>4.542421913888584</v>
      </c>
      <c r="I122" t="s">
        <v>939</v>
      </c>
      <c r="J122" t="s">
        <v>50</v>
      </c>
      <c r="L122" t="s">
        <v>41</v>
      </c>
      <c r="M122" t="s">
        <v>976</v>
      </c>
      <c r="P122" t="s">
        <v>854</v>
      </c>
    </row>
    <row r="123" spans="1:16">
      <c r="A123" t="s">
        <v>34</v>
      </c>
      <c r="B123" t="s">
        <v>35</v>
      </c>
      <c r="C123" t="s">
        <v>264</v>
      </c>
      <c r="E123" s="1">
        <v>13.55454150666564</v>
      </c>
      <c r="F123" s="1">
        <v>28.37845637192702</v>
      </c>
      <c r="G123" s="5">
        <v>3.846569647883848</v>
      </c>
      <c r="H123" s="1">
        <v>15.45288744217783</v>
      </c>
      <c r="I123" t="s">
        <v>939</v>
      </c>
      <c r="J123" t="s">
        <v>71</v>
      </c>
      <c r="L123" t="s">
        <v>41</v>
      </c>
      <c r="M123" t="s">
        <v>977</v>
      </c>
      <c r="P123" t="s">
        <v>854</v>
      </c>
    </row>
    <row r="124" spans="1:16">
      <c r="A124" t="s">
        <v>34</v>
      </c>
      <c r="B124" t="s">
        <v>35</v>
      </c>
      <c r="C124" t="s">
        <v>861</v>
      </c>
      <c r="E124" s="1">
        <v>15.7748283425629</v>
      </c>
      <c r="F124" s="1">
        <v>15.70561954396035</v>
      </c>
      <c r="G124" s="5">
        <v>2.477534523195753</v>
      </c>
      <c r="H124" s="1">
        <v>16.20883324135383</v>
      </c>
      <c r="I124" t="s">
        <v>939</v>
      </c>
      <c r="J124" t="s">
        <v>69</v>
      </c>
      <c r="L124" t="s">
        <v>41</v>
      </c>
      <c r="M124" t="s">
        <v>978</v>
      </c>
      <c r="P124" t="s">
        <v>854</v>
      </c>
    </row>
    <row r="125" spans="1:16">
      <c r="A125" t="s">
        <v>34</v>
      </c>
      <c r="B125" t="s">
        <v>35</v>
      </c>
      <c r="C125" t="s">
        <v>271</v>
      </c>
      <c r="E125" s="1">
        <v>10.94511442248894</v>
      </c>
      <c r="F125" s="1">
        <v>11.67691254998202</v>
      </c>
      <c r="G125" s="5">
        <v>1.278051439609502</v>
      </c>
      <c r="H125" s="1">
        <v>10.85466350835271</v>
      </c>
      <c r="I125" t="s">
        <v>939</v>
      </c>
      <c r="L125" t="s">
        <v>41</v>
      </c>
      <c r="M125" t="s">
        <v>979</v>
      </c>
      <c r="P125" t="s">
        <v>854</v>
      </c>
    </row>
    <row r="126" spans="1:16">
      <c r="A126" t="s">
        <v>34</v>
      </c>
      <c r="B126" t="s">
        <v>35</v>
      </c>
      <c r="C126" t="s">
        <v>864</v>
      </c>
      <c r="E126" s="1">
        <v>31.0975446612779</v>
      </c>
      <c r="F126" s="1">
        <v>13.06545387166591</v>
      </c>
      <c r="G126" s="5">
        <v>4.063035352939967</v>
      </c>
      <c r="H126" s="1">
        <v>31.22401095744641</v>
      </c>
      <c r="I126" t="s">
        <v>939</v>
      </c>
      <c r="J126" t="s">
        <v>79</v>
      </c>
      <c r="L126" t="s">
        <v>41</v>
      </c>
      <c r="M126" t="s">
        <v>980</v>
      </c>
      <c r="P126" t="s">
        <v>854</v>
      </c>
    </row>
    <row r="127" spans="1:16">
      <c r="A127" t="s">
        <v>34</v>
      </c>
      <c r="B127" t="s">
        <v>35</v>
      </c>
      <c r="C127" t="s">
        <v>433</v>
      </c>
      <c r="E127" s="1">
        <v>0.7441230910921734</v>
      </c>
      <c r="F127" s="1">
        <v>-21.63103907293512</v>
      </c>
      <c r="G127" s="5">
        <v>-0.1609615565848806</v>
      </c>
      <c r="H127" s="1">
        <v>0.5178709263628173</v>
      </c>
      <c r="I127" t="s">
        <v>939</v>
      </c>
      <c r="J127" t="s">
        <v>45</v>
      </c>
      <c r="L127" t="s">
        <v>41</v>
      </c>
      <c r="M127" t="s">
        <v>981</v>
      </c>
      <c r="P127" t="s">
        <v>854</v>
      </c>
    </row>
    <row r="128" spans="1:16">
      <c r="A128" t="s">
        <v>34</v>
      </c>
      <c r="B128" t="s">
        <v>35</v>
      </c>
      <c r="G128" s="2">
        <v>-1.792E-14</v>
      </c>
      <c r="I128" t="s">
        <v>57</v>
      </c>
      <c r="L128" t="s">
        <v>58</v>
      </c>
      <c r="M128" t="s">
        <v>982</v>
      </c>
      <c r="P128" t="s">
        <v>60</v>
      </c>
    </row>
    <row r="129" spans="1:15">
      <c r="A129" t="s">
        <v>34</v>
      </c>
      <c r="B129" t="s">
        <v>35</v>
      </c>
      <c r="C129" t="s">
        <v>61</v>
      </c>
      <c r="G129" s="6">
        <f>SUM(G119:G128)</f>
        <v>12.607506005991386</v>
      </c>
      <c r="I129" t="s">
        <v>64</v>
      </c>
      <c r="K129" s="1">
        <v>23.88795185755459</v>
      </c>
      <c r="L129" t="s">
        <v>62</v>
      </c>
      <c r="M129" t="s">
        <v>983</v>
      </c>
      <c r="N129" s="1">
        <v>12.60750600599139</v>
      </c>
      <c r="O129" s="2">
        <f>G129-N129</f>
        <v>0</v>
      </c>
    </row>
  </sheetData>
  <mergeCells count="1">
    <mergeCell ref="A2:P3"/>
  </mergeCells>
  <conditionalFormatting sqref="G6:G12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M4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5" width="26.7109375" customWidth="1"/>
    <col min="6" max="6" width="30.7109375" style="2" customWidth="1"/>
    <col min="7" max="13" width="26.7109375" customWidth="1"/>
  </cols>
  <sheetData>
    <row r="1" spans="1:13">
      <c r="A1" t="s">
        <v>2</v>
      </c>
      <c r="B1" t="s">
        <v>984</v>
      </c>
      <c r="C1" t="s">
        <v>985</v>
      </c>
      <c r="D1" t="s">
        <v>986</v>
      </c>
      <c r="E1" t="s">
        <v>987</v>
      </c>
      <c r="F1" s="2" t="s">
        <v>988</v>
      </c>
      <c r="G1" t="s">
        <v>989</v>
      </c>
      <c r="H1" t="s">
        <v>990</v>
      </c>
      <c r="I1" t="s">
        <v>8</v>
      </c>
      <c r="J1" t="s">
        <v>991</v>
      </c>
      <c r="K1" t="s">
        <v>992</v>
      </c>
      <c r="L1" t="s">
        <v>993</v>
      </c>
      <c r="M1" t="s">
        <v>994</v>
      </c>
    </row>
    <row r="2" spans="1:13">
      <c r="A2" t="s">
        <v>11</v>
      </c>
      <c r="B2" t="s">
        <v>4</v>
      </c>
      <c r="C2">
        <v>6</v>
      </c>
      <c r="D2">
        <v>-45.06833294872517</v>
      </c>
      <c r="E2">
        <v>-45.06833294872518</v>
      </c>
      <c r="F2" s="2">
        <v>5E-15</v>
      </c>
      <c r="G2">
        <v>-45.06833294872517</v>
      </c>
      <c r="H2">
        <v>0</v>
      </c>
      <c r="I2">
        <v>-0.164271062676169</v>
      </c>
      <c r="L2" t="s">
        <v>49</v>
      </c>
      <c r="M2">
        <v>-11.10182253614262</v>
      </c>
    </row>
    <row r="3" spans="1:13">
      <c r="A3" t="s">
        <v>11</v>
      </c>
      <c r="B3" t="s">
        <v>5</v>
      </c>
      <c r="C3">
        <v>20</v>
      </c>
      <c r="D3">
        <v>-1.045851934089492</v>
      </c>
      <c r="E3">
        <v>-1.045851934089494</v>
      </c>
      <c r="F3" s="2">
        <v>1.642E-15</v>
      </c>
      <c r="G3">
        <v>-1.045851934089492</v>
      </c>
      <c r="H3">
        <v>0</v>
      </c>
      <c r="I3">
        <v>-0.164271062676169</v>
      </c>
      <c r="J3" t="s">
        <v>268</v>
      </c>
      <c r="K3">
        <v>7.202908133315466</v>
      </c>
      <c r="L3" t="s">
        <v>141</v>
      </c>
      <c r="M3">
        <v>-6.577173990005318</v>
      </c>
    </row>
    <row r="4" spans="1:13">
      <c r="A4" t="s">
        <v>11</v>
      </c>
      <c r="B4" t="s">
        <v>6</v>
      </c>
      <c r="C4">
        <v>20</v>
      </c>
      <c r="D4">
        <v>-1.045851934089492</v>
      </c>
      <c r="E4">
        <v>-1.045851934089494</v>
      </c>
      <c r="F4" s="2">
        <v>1.642E-15</v>
      </c>
      <c r="G4">
        <v>-1.045851934089492</v>
      </c>
      <c r="H4">
        <v>0</v>
      </c>
      <c r="I4">
        <v>-0.164271062676169</v>
      </c>
      <c r="J4" t="s">
        <v>268</v>
      </c>
      <c r="K4">
        <v>7.202908133315466</v>
      </c>
      <c r="L4" t="s">
        <v>141</v>
      </c>
      <c r="M4">
        <v>-6.577173990005318</v>
      </c>
    </row>
    <row r="5" spans="1:13">
      <c r="A5" t="s">
        <v>11</v>
      </c>
      <c r="B5" t="s">
        <v>7</v>
      </c>
      <c r="C5">
        <v>8</v>
      </c>
      <c r="D5">
        <v>22.30207653505938</v>
      </c>
      <c r="E5">
        <v>22.30207653505938</v>
      </c>
      <c r="F5" s="2">
        <v>-6.8E-15</v>
      </c>
      <c r="G5">
        <v>22.30207653505938</v>
      </c>
      <c r="H5">
        <v>0</v>
      </c>
      <c r="I5">
        <v>-0.164271062676169</v>
      </c>
      <c r="J5" t="s">
        <v>861</v>
      </c>
      <c r="K5">
        <v>15.40139084825414</v>
      </c>
      <c r="L5" t="s">
        <v>250</v>
      </c>
      <c r="M5">
        <v>-2.278530168715252</v>
      </c>
    </row>
    <row r="6" spans="1:13">
      <c r="A6" t="s">
        <v>14</v>
      </c>
      <c r="B6" t="s">
        <v>4</v>
      </c>
      <c r="C6">
        <v>9</v>
      </c>
      <c r="D6">
        <v>3.51981821516617</v>
      </c>
      <c r="E6">
        <v>3.51981821516617</v>
      </c>
      <c r="F6" s="2">
        <v>2.3E-16</v>
      </c>
      <c r="G6">
        <v>3.51981821516617</v>
      </c>
      <c r="H6">
        <v>0</v>
      </c>
      <c r="I6">
        <v>-2.927532474970274</v>
      </c>
      <c r="J6" t="s">
        <v>78</v>
      </c>
      <c r="K6">
        <v>3.345342450873251</v>
      </c>
      <c r="L6" t="s">
        <v>81</v>
      </c>
      <c r="M6">
        <v>-4.049382716049382</v>
      </c>
    </row>
    <row r="7" spans="1:13">
      <c r="A7" t="s">
        <v>14</v>
      </c>
      <c r="B7" t="s">
        <v>5</v>
      </c>
      <c r="C7">
        <v>19</v>
      </c>
      <c r="D7">
        <v>2.08917533479267</v>
      </c>
      <c r="E7">
        <v>2.089175334792653</v>
      </c>
      <c r="F7" s="2">
        <v>1.741E-14</v>
      </c>
      <c r="G7">
        <v>2.08917533479267</v>
      </c>
      <c r="H7">
        <v>0</v>
      </c>
      <c r="I7">
        <v>-2.927532474970274</v>
      </c>
      <c r="J7" t="s">
        <v>111</v>
      </c>
      <c r="K7">
        <v>5.770779793387486</v>
      </c>
      <c r="L7" t="s">
        <v>268</v>
      </c>
      <c r="M7">
        <v>-9.248241536515463</v>
      </c>
    </row>
    <row r="8" spans="1:13">
      <c r="A8" t="s">
        <v>14</v>
      </c>
      <c r="B8" t="s">
        <v>6</v>
      </c>
      <c r="C8">
        <v>20</v>
      </c>
      <c r="D8">
        <v>2.162059180759135</v>
      </c>
      <c r="E8">
        <v>2.162059180759132</v>
      </c>
      <c r="F8" s="2">
        <v>2.95E-15</v>
      </c>
      <c r="G8">
        <v>2.162059180759135</v>
      </c>
      <c r="H8">
        <v>0</v>
      </c>
      <c r="I8">
        <v>-2.927532474970274</v>
      </c>
      <c r="J8" t="s">
        <v>111</v>
      </c>
      <c r="K8">
        <v>5.629780773622693</v>
      </c>
      <c r="L8" t="s">
        <v>268</v>
      </c>
      <c r="M8">
        <v>-9.022276755691403</v>
      </c>
    </row>
    <row r="9" spans="1:13">
      <c r="A9" t="s">
        <v>14</v>
      </c>
      <c r="B9" t="s">
        <v>7</v>
      </c>
      <c r="C9">
        <v>8</v>
      </c>
      <c r="D9">
        <v>11.80382117928511</v>
      </c>
      <c r="E9">
        <v>11.8038211792851</v>
      </c>
      <c r="F9" s="2">
        <v>9.840000000000001E-15</v>
      </c>
      <c r="G9">
        <v>11.80382117928511</v>
      </c>
      <c r="H9">
        <v>0</v>
      </c>
      <c r="I9">
        <v>-2.927532474970274</v>
      </c>
      <c r="J9" t="s">
        <v>861</v>
      </c>
      <c r="K9">
        <v>13.54178465561036</v>
      </c>
      <c r="L9" t="s">
        <v>864</v>
      </c>
      <c r="M9">
        <v>-3.650414844296519</v>
      </c>
    </row>
    <row r="10" spans="1:13">
      <c r="A10" t="s">
        <v>16</v>
      </c>
      <c r="B10" t="s">
        <v>4</v>
      </c>
      <c r="C10">
        <v>8</v>
      </c>
      <c r="D10">
        <v>33.72885185559355</v>
      </c>
      <c r="E10">
        <v>33.72885185559358</v>
      </c>
      <c r="F10" s="2">
        <v>-2.6E-14</v>
      </c>
      <c r="G10">
        <v>33.72885185559355</v>
      </c>
      <c r="H10">
        <v>0</v>
      </c>
      <c r="I10">
        <v>22.07205476283078</v>
      </c>
      <c r="J10" t="s">
        <v>95</v>
      </c>
      <c r="K10">
        <v>12.41358917571207</v>
      </c>
      <c r="L10" t="s">
        <v>99</v>
      </c>
      <c r="M10">
        <v>-0.8851676872472964</v>
      </c>
    </row>
    <row r="11" spans="1:13">
      <c r="A11" t="s">
        <v>16</v>
      </c>
      <c r="B11" t="s">
        <v>5</v>
      </c>
      <c r="C11">
        <v>17</v>
      </c>
      <c r="D11">
        <v>22.66819352877003</v>
      </c>
      <c r="E11">
        <v>22.66819352877004</v>
      </c>
      <c r="F11" s="2">
        <v>-2.45E-15</v>
      </c>
      <c r="G11">
        <v>22.66819352877003</v>
      </c>
      <c r="H11">
        <v>0</v>
      </c>
      <c r="I11">
        <v>22.07205476283078</v>
      </c>
      <c r="J11" t="s">
        <v>268</v>
      </c>
      <c r="K11">
        <v>3.887705241679384</v>
      </c>
      <c r="L11" t="s">
        <v>256</v>
      </c>
      <c r="M11">
        <v>-0.2222445028100865</v>
      </c>
    </row>
    <row r="12" spans="1:13">
      <c r="A12" t="s">
        <v>16</v>
      </c>
      <c r="B12" t="s">
        <v>6</v>
      </c>
      <c r="C12">
        <v>20</v>
      </c>
      <c r="D12">
        <v>23.27991173959898</v>
      </c>
      <c r="E12">
        <v>23.27991173959897</v>
      </c>
      <c r="F12" s="2">
        <v>7.089E-15</v>
      </c>
      <c r="G12">
        <v>23.27991173959898</v>
      </c>
      <c r="H12">
        <v>0</v>
      </c>
      <c r="I12">
        <v>22.07205476283078</v>
      </c>
      <c r="J12" t="s">
        <v>268</v>
      </c>
      <c r="K12">
        <v>3.431526867884253</v>
      </c>
      <c r="L12" t="s">
        <v>256</v>
      </c>
      <c r="M12">
        <v>-0.1961666163515399</v>
      </c>
    </row>
    <row r="13" spans="1:13">
      <c r="A13" t="s">
        <v>16</v>
      </c>
      <c r="B13" t="s">
        <v>7</v>
      </c>
      <c r="C13">
        <v>8</v>
      </c>
      <c r="D13">
        <v>17.1924800826863</v>
      </c>
      <c r="E13">
        <v>17.19248008268628</v>
      </c>
      <c r="F13" s="2">
        <v>1.876E-14</v>
      </c>
      <c r="G13">
        <v>17.1924800826863</v>
      </c>
      <c r="H13">
        <v>0</v>
      </c>
      <c r="I13">
        <v>22.07205476283078</v>
      </c>
      <c r="J13" t="s">
        <v>264</v>
      </c>
      <c r="K13">
        <v>4.195045979155031</v>
      </c>
      <c r="L13" t="s">
        <v>271</v>
      </c>
      <c r="M13">
        <v>-0.6853390725247333</v>
      </c>
    </row>
    <row r="14" spans="1:13">
      <c r="A14" t="s">
        <v>18</v>
      </c>
      <c r="B14" t="s">
        <v>4</v>
      </c>
      <c r="C14">
        <v>2</v>
      </c>
      <c r="D14">
        <v>3.80809875502448</v>
      </c>
      <c r="E14">
        <v>3.808098755024475</v>
      </c>
      <c r="F14" s="2">
        <v>5.7E-15</v>
      </c>
      <c r="G14">
        <v>3.80809875502448</v>
      </c>
      <c r="H14">
        <v>0</v>
      </c>
      <c r="I14">
        <v>15.67973720814175</v>
      </c>
      <c r="J14" t="s">
        <v>47</v>
      </c>
      <c r="K14">
        <v>2.903100170976851</v>
      </c>
    </row>
    <row r="15" spans="1:13">
      <c r="A15" t="s">
        <v>18</v>
      </c>
      <c r="B15" t="s">
        <v>5</v>
      </c>
      <c r="C15">
        <v>17</v>
      </c>
      <c r="D15">
        <v>10.20218624125124</v>
      </c>
      <c r="E15">
        <v>10.20218624125123</v>
      </c>
      <c r="F15" s="2">
        <v>1.012E-14</v>
      </c>
      <c r="G15">
        <v>10.20218624125124</v>
      </c>
      <c r="H15">
        <v>0</v>
      </c>
      <c r="I15">
        <v>15.67973720814175</v>
      </c>
      <c r="J15" t="s">
        <v>268</v>
      </c>
      <c r="K15">
        <v>8.589902541915583</v>
      </c>
      <c r="L15" t="s">
        <v>111</v>
      </c>
      <c r="M15">
        <v>-2.926226799758428</v>
      </c>
    </row>
    <row r="16" spans="1:13">
      <c r="A16" t="s">
        <v>18</v>
      </c>
      <c r="B16" t="s">
        <v>6</v>
      </c>
      <c r="C16">
        <v>21</v>
      </c>
      <c r="D16">
        <v>8.611488456688821</v>
      </c>
      <c r="E16">
        <v>8.611488456688825</v>
      </c>
      <c r="F16" s="2">
        <v>-3.836E-15</v>
      </c>
      <c r="G16">
        <v>8.611488456688821</v>
      </c>
      <c r="H16">
        <v>0</v>
      </c>
      <c r="I16">
        <v>15.67973720814175</v>
      </c>
      <c r="J16" t="s">
        <v>268</v>
      </c>
      <c r="K16">
        <v>7.393695787025904</v>
      </c>
      <c r="L16" t="s">
        <v>111</v>
      </c>
      <c r="M16">
        <v>-2.518728315680207</v>
      </c>
    </row>
    <row r="17" spans="1:13">
      <c r="A17" t="s">
        <v>18</v>
      </c>
      <c r="B17" t="s">
        <v>7</v>
      </c>
      <c r="C17">
        <v>8</v>
      </c>
      <c r="D17">
        <v>1.846367098484847</v>
      </c>
      <c r="E17">
        <v>1.846367098484863</v>
      </c>
      <c r="F17" s="2">
        <v>-1.594E-14</v>
      </c>
      <c r="G17">
        <v>1.846367098484847</v>
      </c>
      <c r="H17">
        <v>0</v>
      </c>
      <c r="I17">
        <v>15.67973720814175</v>
      </c>
      <c r="J17" t="s">
        <v>864</v>
      </c>
      <c r="K17">
        <v>2.236592469218702</v>
      </c>
      <c r="L17" t="s">
        <v>855</v>
      </c>
      <c r="M17">
        <v>-3.206705830090076</v>
      </c>
    </row>
    <row r="18" spans="1:13">
      <c r="A18" t="s">
        <v>20</v>
      </c>
      <c r="B18" t="s">
        <v>4</v>
      </c>
      <c r="C18">
        <v>5</v>
      </c>
      <c r="D18">
        <v>66.31238484785895</v>
      </c>
      <c r="E18">
        <v>66.31238484785897</v>
      </c>
      <c r="F18" s="2">
        <v>-9E-15</v>
      </c>
      <c r="G18">
        <v>66.31238484785895</v>
      </c>
      <c r="H18">
        <v>0</v>
      </c>
      <c r="I18">
        <v>38.76264868231611</v>
      </c>
      <c r="J18" t="s">
        <v>111</v>
      </c>
      <c r="K18">
        <v>21.59352347368517</v>
      </c>
    </row>
    <row r="19" spans="1:13">
      <c r="A19" t="s">
        <v>20</v>
      </c>
      <c r="B19" t="s">
        <v>5</v>
      </c>
      <c r="C19">
        <v>18</v>
      </c>
      <c r="D19">
        <v>51.62762645155248</v>
      </c>
      <c r="E19">
        <v>51.62762645155248</v>
      </c>
      <c r="F19" s="2">
        <v>-1.7E-15</v>
      </c>
      <c r="G19">
        <v>51.62762645155248</v>
      </c>
      <c r="H19">
        <v>0</v>
      </c>
      <c r="I19">
        <v>38.76264868231611</v>
      </c>
      <c r="J19" t="s">
        <v>111</v>
      </c>
      <c r="K19">
        <v>8.045538891844233</v>
      </c>
      <c r="L19" t="s">
        <v>97</v>
      </c>
      <c r="M19">
        <v>-0.7374594002889935</v>
      </c>
    </row>
    <row r="20" spans="1:13">
      <c r="A20" t="s">
        <v>20</v>
      </c>
      <c r="B20" t="s">
        <v>6</v>
      </c>
      <c r="C20">
        <v>22</v>
      </c>
      <c r="D20">
        <v>52.54298170964476</v>
      </c>
      <c r="E20">
        <v>52.54298170964476</v>
      </c>
      <c r="F20" s="2">
        <v>2.6E-16</v>
      </c>
      <c r="G20">
        <v>52.54298170964476</v>
      </c>
      <c r="H20">
        <v>0</v>
      </c>
      <c r="I20">
        <v>38.76264868231611</v>
      </c>
      <c r="J20" t="s">
        <v>111</v>
      </c>
      <c r="K20">
        <v>7.026562676310845</v>
      </c>
      <c r="L20" t="s">
        <v>97</v>
      </c>
      <c r="M20">
        <v>-0.6440593684306238</v>
      </c>
    </row>
    <row r="21" spans="1:13">
      <c r="A21" t="s">
        <v>20</v>
      </c>
      <c r="B21" t="s">
        <v>7</v>
      </c>
      <c r="C21">
        <v>8</v>
      </c>
      <c r="D21">
        <v>40.63230293666847</v>
      </c>
      <c r="E21">
        <v>40.63230293666845</v>
      </c>
      <c r="F21" s="2">
        <v>2.49E-14</v>
      </c>
      <c r="G21">
        <v>40.63230293666847</v>
      </c>
      <c r="H21">
        <v>0</v>
      </c>
      <c r="I21">
        <v>38.76264868231611</v>
      </c>
      <c r="J21" t="s">
        <v>246</v>
      </c>
      <c r="K21">
        <v>9.014106086204011</v>
      </c>
    </row>
    <row r="22" spans="1:13">
      <c r="A22" t="s">
        <v>22</v>
      </c>
      <c r="B22" t="s">
        <v>4</v>
      </c>
      <c r="C22">
        <v>4</v>
      </c>
      <c r="D22">
        <v>17.03978327544608</v>
      </c>
      <c r="E22">
        <v>17.03978327544608</v>
      </c>
      <c r="F22" s="2">
        <v>5.9E-15</v>
      </c>
      <c r="G22">
        <v>17.03978327544608</v>
      </c>
      <c r="H22">
        <v>0</v>
      </c>
      <c r="I22">
        <v>-5.854752830622212</v>
      </c>
      <c r="J22" t="s">
        <v>119</v>
      </c>
      <c r="K22">
        <v>9.299980349804175</v>
      </c>
      <c r="L22" t="s">
        <v>85</v>
      </c>
      <c r="M22">
        <v>-0.7372614897837619</v>
      </c>
    </row>
    <row r="23" spans="1:13">
      <c r="A23" t="s">
        <v>22</v>
      </c>
      <c r="B23" t="s">
        <v>5</v>
      </c>
      <c r="C23">
        <v>19</v>
      </c>
      <c r="D23">
        <v>-5.587907671145553</v>
      </c>
      <c r="E23">
        <v>-5.587907671145558</v>
      </c>
      <c r="F23" s="2">
        <v>4.7759E-15</v>
      </c>
      <c r="G23">
        <v>-5.587907671145553</v>
      </c>
      <c r="H23">
        <v>0</v>
      </c>
      <c r="I23">
        <v>-5.854752830622212</v>
      </c>
      <c r="J23" t="s">
        <v>338</v>
      </c>
      <c r="K23">
        <v>2.603894449138121</v>
      </c>
      <c r="L23" t="s">
        <v>379</v>
      </c>
      <c r="M23">
        <v>-4.420231885605421</v>
      </c>
    </row>
    <row r="24" spans="1:13">
      <c r="A24" t="s">
        <v>22</v>
      </c>
      <c r="B24" t="s">
        <v>6</v>
      </c>
      <c r="C24">
        <v>23</v>
      </c>
      <c r="D24">
        <v>-5.836915805343268</v>
      </c>
      <c r="E24">
        <v>-5.836915805343266</v>
      </c>
      <c r="F24" s="2">
        <v>-1.6157E-15</v>
      </c>
      <c r="G24">
        <v>-5.836915805343268</v>
      </c>
      <c r="H24">
        <v>0</v>
      </c>
      <c r="I24">
        <v>-5.854752830622212</v>
      </c>
      <c r="J24" t="s">
        <v>338</v>
      </c>
      <c r="K24">
        <v>2.626176592924379</v>
      </c>
      <c r="L24" t="s">
        <v>379</v>
      </c>
      <c r="M24">
        <v>-4.420231885605421</v>
      </c>
    </row>
    <row r="25" spans="1:13">
      <c r="A25" t="s">
        <v>22</v>
      </c>
      <c r="B25" t="s">
        <v>7</v>
      </c>
      <c r="C25">
        <v>8</v>
      </c>
      <c r="D25">
        <v>18.91331074515961</v>
      </c>
      <c r="E25">
        <v>18.9133107451596</v>
      </c>
      <c r="F25" s="2">
        <v>6.119E-15</v>
      </c>
      <c r="G25">
        <v>18.91331074515961</v>
      </c>
      <c r="H25">
        <v>0</v>
      </c>
      <c r="I25">
        <v>-5.854752830622212</v>
      </c>
      <c r="J25" t="s">
        <v>864</v>
      </c>
      <c r="K25">
        <v>16.62838057948186</v>
      </c>
      <c r="L25" t="s">
        <v>246</v>
      </c>
      <c r="M25">
        <v>-5.405065186002801</v>
      </c>
    </row>
    <row r="26" spans="1:13">
      <c r="A26" t="s">
        <v>24</v>
      </c>
      <c r="B26" t="s">
        <v>4</v>
      </c>
      <c r="C26">
        <v>9</v>
      </c>
      <c r="D26">
        <v>28.40417972348845</v>
      </c>
      <c r="E26">
        <v>28.40417972348845</v>
      </c>
      <c r="F26" s="2">
        <v>3.87E-15</v>
      </c>
      <c r="G26">
        <v>28.40417972348845</v>
      </c>
      <c r="H26">
        <v>0</v>
      </c>
      <c r="I26">
        <v>33.39705028056146</v>
      </c>
      <c r="J26" t="s">
        <v>136</v>
      </c>
      <c r="K26">
        <v>14.18860844768108</v>
      </c>
      <c r="L26" t="s">
        <v>111</v>
      </c>
      <c r="M26">
        <v>-5.546914046410629</v>
      </c>
    </row>
    <row r="27" spans="1:13">
      <c r="A27" t="s">
        <v>24</v>
      </c>
      <c r="B27" t="s">
        <v>5</v>
      </c>
      <c r="C27">
        <v>22</v>
      </c>
      <c r="D27">
        <v>-1.383317030085862</v>
      </c>
      <c r="E27">
        <v>-1.383317030085858</v>
      </c>
      <c r="F27" s="2">
        <v>-4.085E-15</v>
      </c>
      <c r="G27">
        <v>-1.383317030085862</v>
      </c>
      <c r="H27">
        <v>0</v>
      </c>
      <c r="I27">
        <v>33.39705028056146</v>
      </c>
      <c r="J27" t="s">
        <v>268</v>
      </c>
      <c r="K27">
        <v>2.01654649757926</v>
      </c>
      <c r="L27" t="s">
        <v>111</v>
      </c>
      <c r="M27">
        <v>-4.194857189162994</v>
      </c>
    </row>
    <row r="28" spans="1:13">
      <c r="A28" t="s">
        <v>24</v>
      </c>
      <c r="B28" t="s">
        <v>6</v>
      </c>
      <c r="C28">
        <v>25</v>
      </c>
      <c r="D28">
        <v>-2.196488370717908</v>
      </c>
      <c r="E28">
        <v>-2.196488370717903</v>
      </c>
      <c r="F28" s="2">
        <v>-5.098E-15</v>
      </c>
      <c r="G28">
        <v>-2.196488370717908</v>
      </c>
      <c r="H28">
        <v>0</v>
      </c>
      <c r="I28">
        <v>33.39705028056146</v>
      </c>
      <c r="J28" t="s">
        <v>408</v>
      </c>
      <c r="K28">
        <v>1.82217438830925</v>
      </c>
      <c r="L28" t="s">
        <v>111</v>
      </c>
      <c r="M28">
        <v>-3.773158403041526</v>
      </c>
    </row>
    <row r="29" spans="1:13">
      <c r="A29" t="s">
        <v>24</v>
      </c>
      <c r="B29" t="s">
        <v>7</v>
      </c>
      <c r="C29">
        <v>8</v>
      </c>
      <c r="D29">
        <v>18.96598040893156</v>
      </c>
      <c r="E29">
        <v>18.96598040893156</v>
      </c>
      <c r="F29" s="2">
        <v>3.4E-15</v>
      </c>
      <c r="G29">
        <v>18.96598040893156</v>
      </c>
      <c r="H29">
        <v>0</v>
      </c>
      <c r="I29">
        <v>33.39705028056146</v>
      </c>
      <c r="J29" t="s">
        <v>864</v>
      </c>
      <c r="K29">
        <v>8.207410958476473</v>
      </c>
      <c r="L29" t="s">
        <v>855</v>
      </c>
      <c r="M29">
        <v>-0.2589949734867133</v>
      </c>
    </row>
    <row r="30" spans="1:13">
      <c r="A30" t="s">
        <v>26</v>
      </c>
      <c r="B30" t="s">
        <v>4</v>
      </c>
      <c r="C30">
        <v>4</v>
      </c>
      <c r="D30">
        <v>-12.97302277926805</v>
      </c>
      <c r="E30">
        <v>-12.97302277926805</v>
      </c>
      <c r="F30" s="2">
        <v>-5.14E-15</v>
      </c>
      <c r="G30">
        <v>-12.97302277926805</v>
      </c>
      <c r="H30">
        <v>0</v>
      </c>
      <c r="I30">
        <v>-22.28654577550484</v>
      </c>
      <c r="J30" t="s">
        <v>123</v>
      </c>
      <c r="K30">
        <v>3.295468418159031</v>
      </c>
      <c r="L30" t="s">
        <v>141</v>
      </c>
      <c r="M30">
        <v>-17.57351242419232</v>
      </c>
    </row>
    <row r="31" spans="1:13">
      <c r="A31" t="s">
        <v>26</v>
      </c>
      <c r="B31" t="s">
        <v>5</v>
      </c>
      <c r="C31">
        <v>22</v>
      </c>
      <c r="D31">
        <v>-3.552550931149756</v>
      </c>
      <c r="E31">
        <v>-3.552550931149764</v>
      </c>
      <c r="F31" s="2">
        <v>7.822E-15</v>
      </c>
      <c r="G31">
        <v>-3.552550931149756</v>
      </c>
      <c r="H31">
        <v>0</v>
      </c>
      <c r="I31">
        <v>-22.28654577550484</v>
      </c>
      <c r="J31" t="s">
        <v>111</v>
      </c>
      <c r="K31">
        <v>1.280717916079118</v>
      </c>
      <c r="L31" t="s">
        <v>268</v>
      </c>
      <c r="M31">
        <v>-5.899260421742333</v>
      </c>
    </row>
    <row r="32" spans="1:13">
      <c r="A32" t="s">
        <v>26</v>
      </c>
      <c r="B32" t="s">
        <v>6</v>
      </c>
      <c r="C32">
        <v>26</v>
      </c>
      <c r="D32">
        <v>-5.454574716481952</v>
      </c>
      <c r="E32">
        <v>-5.45457471648195</v>
      </c>
      <c r="F32" s="2">
        <v>-1.445E-15</v>
      </c>
      <c r="G32">
        <v>-5.454574716481952</v>
      </c>
      <c r="H32">
        <v>0</v>
      </c>
      <c r="I32">
        <v>-22.28654577550484</v>
      </c>
      <c r="J32" t="s">
        <v>350</v>
      </c>
      <c r="K32">
        <v>1.3365430586614</v>
      </c>
      <c r="L32" t="s">
        <v>268</v>
      </c>
      <c r="M32">
        <v>-5.471084582213505</v>
      </c>
    </row>
    <row r="33" spans="1:13">
      <c r="A33" t="s">
        <v>26</v>
      </c>
      <c r="B33" t="s">
        <v>7</v>
      </c>
      <c r="C33">
        <v>8</v>
      </c>
      <c r="D33">
        <v>-11.58500023593119</v>
      </c>
      <c r="E33">
        <v>-11.58500023593118</v>
      </c>
      <c r="F33" s="2">
        <v>-3.6E-15</v>
      </c>
      <c r="G33">
        <v>-11.58500023593119</v>
      </c>
      <c r="H33">
        <v>0</v>
      </c>
      <c r="I33">
        <v>-22.28654577550484</v>
      </c>
      <c r="J33" t="s">
        <v>250</v>
      </c>
      <c r="K33">
        <v>1.32148528772868</v>
      </c>
      <c r="L33" t="s">
        <v>861</v>
      </c>
      <c r="M33">
        <v>-6.019566180671318</v>
      </c>
    </row>
    <row r="34" spans="1:13">
      <c r="A34" t="s">
        <v>28</v>
      </c>
      <c r="B34" t="s">
        <v>4</v>
      </c>
      <c r="C34">
        <v>14</v>
      </c>
      <c r="D34">
        <v>45.34347835955088</v>
      </c>
      <c r="E34">
        <v>45.34347835955086</v>
      </c>
      <c r="F34" s="2">
        <v>1.8926E-14</v>
      </c>
      <c r="G34">
        <v>45.34347835955088</v>
      </c>
      <c r="H34">
        <v>0</v>
      </c>
      <c r="I34">
        <v>19.83424318272573</v>
      </c>
      <c r="J34" t="s">
        <v>141</v>
      </c>
      <c r="K34">
        <v>20.64495981568607</v>
      </c>
      <c r="L34" t="s">
        <v>125</v>
      </c>
      <c r="M34">
        <v>-1.477315654371194</v>
      </c>
    </row>
    <row r="35" spans="1:13">
      <c r="A35" t="s">
        <v>28</v>
      </c>
      <c r="B35" t="s">
        <v>5</v>
      </c>
      <c r="C35">
        <v>23</v>
      </c>
      <c r="D35">
        <v>34.82169017834877</v>
      </c>
      <c r="E35">
        <v>34.82169017834876</v>
      </c>
      <c r="F35" s="2">
        <v>1.443E-14</v>
      </c>
      <c r="G35">
        <v>34.82169017834877</v>
      </c>
      <c r="H35">
        <v>0</v>
      </c>
      <c r="I35">
        <v>19.83424318272573</v>
      </c>
      <c r="J35" t="s">
        <v>268</v>
      </c>
      <c r="K35">
        <v>9.378053258114496</v>
      </c>
      <c r="L35" t="s">
        <v>119</v>
      </c>
      <c r="M35">
        <v>-0.1696460975002906</v>
      </c>
    </row>
    <row r="36" spans="1:13">
      <c r="A36" t="s">
        <v>28</v>
      </c>
      <c r="B36" t="s">
        <v>6</v>
      </c>
      <c r="C36">
        <v>27</v>
      </c>
      <c r="D36">
        <v>35.63021358681821</v>
      </c>
      <c r="E36">
        <v>35.63021358681824</v>
      </c>
      <c r="F36" s="2">
        <v>-2.0674E-14</v>
      </c>
      <c r="G36">
        <v>35.63021358681821</v>
      </c>
      <c r="H36">
        <v>0</v>
      </c>
      <c r="I36">
        <v>19.83424318272573</v>
      </c>
      <c r="J36" t="s">
        <v>268</v>
      </c>
      <c r="K36">
        <v>8.872352357148232</v>
      </c>
      <c r="L36" t="s">
        <v>119</v>
      </c>
      <c r="M36">
        <v>-0.1604981238228033</v>
      </c>
    </row>
    <row r="37" spans="1:13">
      <c r="A37" t="s">
        <v>28</v>
      </c>
      <c r="B37" t="s">
        <v>7</v>
      </c>
      <c r="C37">
        <v>9</v>
      </c>
      <c r="D37">
        <v>37.37253543216313</v>
      </c>
      <c r="E37">
        <v>37.3725354321631</v>
      </c>
      <c r="F37" s="2">
        <v>2.003E-14</v>
      </c>
      <c r="G37">
        <v>37.37253543216313</v>
      </c>
      <c r="H37">
        <v>0</v>
      </c>
      <c r="I37">
        <v>19.83424318272573</v>
      </c>
      <c r="J37" t="s">
        <v>861</v>
      </c>
      <c r="K37">
        <v>15.42776739612008</v>
      </c>
    </row>
    <row r="38" spans="1:13">
      <c r="A38" t="s">
        <v>30</v>
      </c>
      <c r="B38" t="s">
        <v>4</v>
      </c>
      <c r="C38">
        <v>10</v>
      </c>
      <c r="D38">
        <v>5.108316505773147</v>
      </c>
      <c r="E38">
        <v>5.108316505773144</v>
      </c>
      <c r="F38" s="2">
        <v>3.11E-15</v>
      </c>
      <c r="G38">
        <v>5.108316505773147</v>
      </c>
      <c r="H38">
        <v>0</v>
      </c>
      <c r="I38">
        <v>4.928188538958578</v>
      </c>
      <c r="J38" t="s">
        <v>141</v>
      </c>
      <c r="K38">
        <v>4.989802369761669</v>
      </c>
      <c r="L38" t="s">
        <v>171</v>
      </c>
      <c r="M38">
        <v>-3.370507854884605</v>
      </c>
    </row>
    <row r="39" spans="1:13">
      <c r="A39" t="s">
        <v>30</v>
      </c>
      <c r="B39" t="s">
        <v>5</v>
      </c>
      <c r="C39">
        <v>23</v>
      </c>
      <c r="D39">
        <v>14.70434716025268</v>
      </c>
      <c r="E39">
        <v>14.70434716025269</v>
      </c>
      <c r="F39" s="2">
        <v>-2.101E-15</v>
      </c>
      <c r="G39">
        <v>14.70434716025268</v>
      </c>
      <c r="H39">
        <v>0</v>
      </c>
      <c r="I39">
        <v>4.928188538958578</v>
      </c>
      <c r="J39" t="s">
        <v>111</v>
      </c>
      <c r="K39">
        <v>3.146001444859468</v>
      </c>
      <c r="L39" t="s">
        <v>246</v>
      </c>
      <c r="M39">
        <v>-0.4305070427487893</v>
      </c>
    </row>
    <row r="40" spans="1:13">
      <c r="A40" t="s">
        <v>30</v>
      </c>
      <c r="B40" t="s">
        <v>6</v>
      </c>
      <c r="C40">
        <v>27</v>
      </c>
      <c r="D40">
        <v>12.88209684781691</v>
      </c>
      <c r="E40">
        <v>12.88209684781692</v>
      </c>
      <c r="F40" s="2">
        <v>-3.496E-15</v>
      </c>
      <c r="G40">
        <v>12.88209684781691</v>
      </c>
      <c r="H40">
        <v>0</v>
      </c>
      <c r="I40">
        <v>4.928188538958578</v>
      </c>
      <c r="J40" t="s">
        <v>111</v>
      </c>
      <c r="K40">
        <v>2.958614120781331</v>
      </c>
      <c r="L40" t="s">
        <v>248</v>
      </c>
      <c r="M40">
        <v>-0.6381130066708376</v>
      </c>
    </row>
    <row r="41" spans="1:13">
      <c r="A41" t="s">
        <v>30</v>
      </c>
      <c r="B41" t="s">
        <v>7</v>
      </c>
      <c r="C41">
        <v>9</v>
      </c>
      <c r="D41">
        <v>-2.607803616142346</v>
      </c>
      <c r="E41">
        <v>-2.607803616142345</v>
      </c>
      <c r="F41" s="2">
        <v>-6.1E-16</v>
      </c>
      <c r="G41">
        <v>-2.607803616142346</v>
      </c>
      <c r="H41">
        <v>0</v>
      </c>
      <c r="I41">
        <v>4.928188538958578</v>
      </c>
      <c r="J41" t="s">
        <v>864</v>
      </c>
      <c r="K41">
        <v>3.514883252089474</v>
      </c>
      <c r="L41" t="s">
        <v>861</v>
      </c>
      <c r="M41">
        <v>-3.584853818781672</v>
      </c>
    </row>
    <row r="42" spans="1:13">
      <c r="A42" t="s">
        <v>32</v>
      </c>
      <c r="B42" t="s">
        <v>4</v>
      </c>
      <c r="C42">
        <v>13</v>
      </c>
      <c r="D42">
        <v>27.84179038625139</v>
      </c>
      <c r="E42">
        <v>27.84179038625138</v>
      </c>
      <c r="F42" s="2">
        <v>5.77E-15</v>
      </c>
      <c r="G42">
        <v>27.84179038625139</v>
      </c>
      <c r="H42">
        <v>0</v>
      </c>
      <c r="I42">
        <v>12.06397079089039</v>
      </c>
      <c r="J42" t="s">
        <v>141</v>
      </c>
      <c r="K42">
        <v>9.079926486197271</v>
      </c>
      <c r="L42" t="s">
        <v>171</v>
      </c>
      <c r="M42">
        <v>-1.175294235568931</v>
      </c>
    </row>
    <row r="43" spans="1:13">
      <c r="A43" t="s">
        <v>32</v>
      </c>
      <c r="B43" t="s">
        <v>5</v>
      </c>
      <c r="C43">
        <v>23</v>
      </c>
      <c r="D43">
        <v>37.4777040274616</v>
      </c>
      <c r="E43">
        <v>37.47770402746159</v>
      </c>
      <c r="F43" s="2">
        <v>1.056E-14</v>
      </c>
      <c r="G43">
        <v>37.4777040274616</v>
      </c>
      <c r="H43">
        <v>0</v>
      </c>
      <c r="I43">
        <v>12.06397079089039</v>
      </c>
      <c r="J43" t="s">
        <v>268</v>
      </c>
      <c r="K43">
        <v>16.10873129349908</v>
      </c>
      <c r="L43" t="s">
        <v>244</v>
      </c>
      <c r="M43">
        <v>-0.5636036505119973</v>
      </c>
    </row>
    <row r="44" spans="1:13">
      <c r="A44" t="s">
        <v>32</v>
      </c>
      <c r="B44" t="s">
        <v>6</v>
      </c>
      <c r="C44">
        <v>28</v>
      </c>
      <c r="D44">
        <v>40.3263619566296</v>
      </c>
      <c r="E44">
        <v>40.32636195662962</v>
      </c>
      <c r="F44" s="2">
        <v>-2.0166E-14</v>
      </c>
      <c r="G44">
        <v>40.3263619566296</v>
      </c>
      <c r="H44">
        <v>0</v>
      </c>
      <c r="I44">
        <v>12.06397079089039</v>
      </c>
      <c r="J44" t="s">
        <v>268</v>
      </c>
      <c r="K44">
        <v>14.52106610299738</v>
      </c>
      <c r="L44" t="s">
        <v>244</v>
      </c>
      <c r="M44">
        <v>-0.5080552723775453</v>
      </c>
    </row>
    <row r="45" spans="1:13">
      <c r="A45" t="s">
        <v>32</v>
      </c>
      <c r="B45" t="s">
        <v>7</v>
      </c>
      <c r="C45">
        <v>9</v>
      </c>
      <c r="D45">
        <v>-0.1867573741000328</v>
      </c>
      <c r="E45">
        <v>-0.1867573741000393</v>
      </c>
      <c r="F45" s="2">
        <v>6.513E-15</v>
      </c>
      <c r="G45">
        <v>-0.1867573741000328</v>
      </c>
      <c r="H45">
        <v>0</v>
      </c>
      <c r="I45">
        <v>12.06397079089039</v>
      </c>
      <c r="J45" t="s">
        <v>264</v>
      </c>
      <c r="K45">
        <v>3.561512395486305</v>
      </c>
      <c r="L45" t="s">
        <v>861</v>
      </c>
      <c r="M45">
        <v>-10.56362215911428</v>
      </c>
    </row>
    <row r="46" spans="1:13">
      <c r="A46" t="s">
        <v>34</v>
      </c>
      <c r="B46" t="s">
        <v>4</v>
      </c>
      <c r="C46">
        <v>13</v>
      </c>
      <c r="D46">
        <v>46.32243959101088</v>
      </c>
      <c r="E46">
        <v>46.32243959101089</v>
      </c>
      <c r="F46" s="2">
        <v>-7.590000000000001E-15</v>
      </c>
      <c r="G46">
        <v>46.32243959101088</v>
      </c>
      <c r="H46">
        <v>0</v>
      </c>
      <c r="I46">
        <v>23.88795185755459</v>
      </c>
      <c r="J46" t="s">
        <v>141</v>
      </c>
      <c r="K46">
        <v>29.20054707640637</v>
      </c>
      <c r="L46" t="s">
        <v>163</v>
      </c>
      <c r="M46">
        <v>-0.6699616217897872</v>
      </c>
    </row>
    <row r="47" spans="1:13">
      <c r="A47" t="s">
        <v>34</v>
      </c>
      <c r="B47" t="s">
        <v>5</v>
      </c>
      <c r="C47">
        <v>22</v>
      </c>
      <c r="D47">
        <v>27.01733157012001</v>
      </c>
      <c r="E47">
        <v>27.01733157012002</v>
      </c>
      <c r="F47" s="2">
        <v>-1.615E-14</v>
      </c>
      <c r="G47">
        <v>27.01733157012001</v>
      </c>
      <c r="H47">
        <v>0</v>
      </c>
      <c r="I47">
        <v>23.88795185755459</v>
      </c>
      <c r="J47" t="s">
        <v>141</v>
      </c>
      <c r="K47">
        <v>11.08288212835789</v>
      </c>
      <c r="L47" t="s">
        <v>244</v>
      </c>
      <c r="M47">
        <v>-0.2294585156446911</v>
      </c>
    </row>
    <row r="48" spans="1:13">
      <c r="A48" t="s">
        <v>34</v>
      </c>
      <c r="B48" t="s">
        <v>6</v>
      </c>
      <c r="C48">
        <v>28</v>
      </c>
      <c r="D48">
        <v>25.75496307729872</v>
      </c>
      <c r="E48">
        <v>25.75496307729872</v>
      </c>
      <c r="F48" s="2">
        <v>5.012E-15</v>
      </c>
      <c r="G48">
        <v>25.75496307729872</v>
      </c>
      <c r="H48">
        <v>0</v>
      </c>
      <c r="I48">
        <v>23.88795185755459</v>
      </c>
      <c r="J48" t="s">
        <v>141</v>
      </c>
      <c r="K48">
        <v>9.83750050157666</v>
      </c>
      <c r="L48" t="s">
        <v>244</v>
      </c>
      <c r="M48">
        <v>-0.2013734321361988</v>
      </c>
    </row>
    <row r="49" spans="1:13">
      <c r="A49" t="s">
        <v>34</v>
      </c>
      <c r="B49" t="s">
        <v>7</v>
      </c>
      <c r="C49">
        <v>9</v>
      </c>
      <c r="D49">
        <v>12.60750600599139</v>
      </c>
      <c r="E49">
        <v>12.6075060059914</v>
      </c>
      <c r="F49" s="2">
        <v>-1.792E-14</v>
      </c>
      <c r="G49">
        <v>12.60750600599139</v>
      </c>
      <c r="H49">
        <v>0</v>
      </c>
      <c r="I49">
        <v>23.88795185755459</v>
      </c>
      <c r="J49" t="s">
        <v>864</v>
      </c>
      <c r="K49">
        <v>4.063035352939967</v>
      </c>
      <c r="L49" t="s">
        <v>858</v>
      </c>
      <c r="M49">
        <v>-1.249855814443494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N9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14" width="25.7109375" customWidth="1"/>
  </cols>
  <sheetData>
    <row r="1" spans="1:14">
      <c r="A1" t="s">
        <v>995</v>
      </c>
      <c r="B1" t="s">
        <v>996</v>
      </c>
      <c r="C1" t="s">
        <v>997</v>
      </c>
      <c r="D1" t="s">
        <v>998</v>
      </c>
      <c r="E1" t="s">
        <v>999</v>
      </c>
      <c r="F1" t="s">
        <v>1000</v>
      </c>
      <c r="G1" t="s">
        <v>1001</v>
      </c>
      <c r="H1" t="s">
        <v>1002</v>
      </c>
      <c r="I1" t="s">
        <v>1003</v>
      </c>
      <c r="J1" t="s">
        <v>1004</v>
      </c>
      <c r="K1" t="s">
        <v>1005</v>
      </c>
      <c r="L1" t="s">
        <v>1006</v>
      </c>
      <c r="M1" t="s">
        <v>1007</v>
      </c>
      <c r="N1" t="s">
        <v>1008</v>
      </c>
    </row>
    <row r="2" spans="1:14">
      <c r="A2" t="s">
        <v>5</v>
      </c>
      <c r="B2" t="s">
        <v>30</v>
      </c>
      <c r="C2" t="s">
        <v>1009</v>
      </c>
      <c r="D2" t="s">
        <v>1010</v>
      </c>
      <c r="E2" t="s">
        <v>1011</v>
      </c>
      <c r="F2" t="s">
        <v>1012</v>
      </c>
      <c r="G2" t="s">
        <v>85</v>
      </c>
      <c r="H2" t="s">
        <v>85</v>
      </c>
      <c r="I2" t="s">
        <v>239</v>
      </c>
      <c r="J2">
        <v>0.03339741203526075</v>
      </c>
      <c r="K2">
        <v>0.05533061481804533</v>
      </c>
      <c r="L2">
        <v>0.001847899341242563</v>
      </c>
      <c r="M2">
        <v>9.559748273370738E-05</v>
      </c>
      <c r="N2" t="s">
        <v>1013</v>
      </c>
    </row>
    <row r="3" spans="1:14">
      <c r="A3" t="s">
        <v>5</v>
      </c>
      <c r="B3" t="s">
        <v>30</v>
      </c>
      <c r="C3" t="s">
        <v>1009</v>
      </c>
      <c r="D3" t="s">
        <v>1010</v>
      </c>
      <c r="E3" t="s">
        <v>1011</v>
      </c>
      <c r="F3" t="s">
        <v>1012</v>
      </c>
      <c r="G3" t="s">
        <v>85</v>
      </c>
      <c r="H3" t="s">
        <v>85</v>
      </c>
      <c r="I3" t="s">
        <v>414</v>
      </c>
      <c r="J3">
        <v>0.01388665282405346</v>
      </c>
      <c r="K3">
        <v>0.05533061481804533</v>
      </c>
      <c r="L3">
        <v>0.0007683570385196231</v>
      </c>
      <c r="M3">
        <v>6.728170214707733E-05</v>
      </c>
      <c r="N3" t="s">
        <v>1013</v>
      </c>
    </row>
    <row r="4" spans="1:14">
      <c r="A4" t="s">
        <v>5</v>
      </c>
      <c r="B4" t="s">
        <v>30</v>
      </c>
      <c r="C4" t="s">
        <v>1009</v>
      </c>
      <c r="D4" t="s">
        <v>1010</v>
      </c>
      <c r="E4" t="s">
        <v>1011</v>
      </c>
      <c r="F4" t="s">
        <v>1012</v>
      </c>
      <c r="G4" t="s">
        <v>85</v>
      </c>
      <c r="H4" t="s">
        <v>85</v>
      </c>
      <c r="I4" t="s">
        <v>244</v>
      </c>
      <c r="J4">
        <v>0.0421783142403034</v>
      </c>
      <c r="K4">
        <v>0.05533061481804533</v>
      </c>
      <c r="L4">
        <v>0.002333752058904703</v>
      </c>
      <c r="M4">
        <v>4.938112693408175E-05</v>
      </c>
      <c r="N4" t="s">
        <v>1013</v>
      </c>
    </row>
    <row r="5" spans="1:14">
      <c r="A5" t="s">
        <v>5</v>
      </c>
      <c r="B5" t="s">
        <v>30</v>
      </c>
      <c r="C5" t="s">
        <v>1009</v>
      </c>
      <c r="D5" t="s">
        <v>1010</v>
      </c>
      <c r="E5" t="s">
        <v>1011</v>
      </c>
      <c r="F5" t="s">
        <v>1012</v>
      </c>
      <c r="G5" t="s">
        <v>85</v>
      </c>
      <c r="H5" t="s">
        <v>85</v>
      </c>
      <c r="I5" t="s">
        <v>246</v>
      </c>
      <c r="J5">
        <v>0.02240257124227518</v>
      </c>
      <c r="K5">
        <v>0.05533061481804533</v>
      </c>
      <c r="L5">
        <v>0.001239548040340147</v>
      </c>
      <c r="M5">
        <v>8.324701412626909E-05</v>
      </c>
      <c r="N5" t="s">
        <v>1013</v>
      </c>
    </row>
    <row r="6" spans="1:14">
      <c r="A6" t="s">
        <v>5</v>
      </c>
      <c r="B6" t="s">
        <v>30</v>
      </c>
      <c r="C6" t="s">
        <v>1009</v>
      </c>
      <c r="D6" t="s">
        <v>1010</v>
      </c>
      <c r="E6" t="s">
        <v>1011</v>
      </c>
      <c r="F6" t="s">
        <v>1012</v>
      </c>
      <c r="G6" t="s">
        <v>85</v>
      </c>
      <c r="H6" t="s">
        <v>85</v>
      </c>
      <c r="I6" t="s">
        <v>350</v>
      </c>
      <c r="J6">
        <v>0.08488019962572449</v>
      </c>
      <c r="K6">
        <v>0.05533061481804533</v>
      </c>
      <c r="L6">
        <v>0.004696473631169757</v>
      </c>
      <c r="M6">
        <v>0.0001471326325554435</v>
      </c>
      <c r="N6" t="s">
        <v>1013</v>
      </c>
    </row>
    <row r="7" spans="1:14">
      <c r="A7" t="s">
        <v>5</v>
      </c>
      <c r="B7" t="s">
        <v>30</v>
      </c>
      <c r="C7" t="s">
        <v>1009</v>
      </c>
      <c r="D7" t="s">
        <v>1010</v>
      </c>
      <c r="E7" t="s">
        <v>1011</v>
      </c>
      <c r="F7" t="s">
        <v>1012</v>
      </c>
      <c r="G7" t="s">
        <v>85</v>
      </c>
      <c r="H7" t="s">
        <v>85</v>
      </c>
      <c r="I7" t="s">
        <v>250</v>
      </c>
      <c r="J7">
        <v>0.01449342719573956</v>
      </c>
      <c r="K7">
        <v>0.05533061481804533</v>
      </c>
      <c r="L7">
        <v>0.0008019302375608482</v>
      </c>
      <c r="M7">
        <v>6.379715493721943E-05</v>
      </c>
      <c r="N7" t="s">
        <v>1013</v>
      </c>
    </row>
    <row r="8" spans="1:14">
      <c r="A8" t="s">
        <v>5</v>
      </c>
      <c r="B8" t="s">
        <v>30</v>
      </c>
      <c r="C8" t="s">
        <v>1009</v>
      </c>
      <c r="D8" t="s">
        <v>1010</v>
      </c>
      <c r="E8" t="s">
        <v>1011</v>
      </c>
      <c r="F8" t="s">
        <v>1012</v>
      </c>
      <c r="G8" t="s">
        <v>85</v>
      </c>
      <c r="H8" t="s">
        <v>85</v>
      </c>
      <c r="I8" t="s">
        <v>254</v>
      </c>
      <c r="J8">
        <v>0.0274554962992402</v>
      </c>
      <c r="K8">
        <v>0.05533061481804533</v>
      </c>
      <c r="L8">
        <v>0.001519129490371528</v>
      </c>
      <c r="M8">
        <v>4.359051622299937E-05</v>
      </c>
      <c r="N8" t="s">
        <v>1013</v>
      </c>
    </row>
    <row r="9" spans="1:14">
      <c r="A9" t="s">
        <v>5</v>
      </c>
      <c r="B9" t="s">
        <v>30</v>
      </c>
      <c r="C9" t="s">
        <v>1009</v>
      </c>
      <c r="D9" t="s">
        <v>1010</v>
      </c>
      <c r="E9" t="s">
        <v>1011</v>
      </c>
      <c r="F9" t="s">
        <v>1012</v>
      </c>
      <c r="G9" t="s">
        <v>85</v>
      </c>
      <c r="H9" t="s">
        <v>85</v>
      </c>
      <c r="I9" t="s">
        <v>256</v>
      </c>
      <c r="J9">
        <v>0.02857431352818035</v>
      </c>
      <c r="K9">
        <v>0.05533061481804533</v>
      </c>
      <c r="L9">
        <v>0.001581034335517809</v>
      </c>
      <c r="M9">
        <v>0.0001784463132638611</v>
      </c>
      <c r="N9" t="s">
        <v>1013</v>
      </c>
    </row>
    <row r="10" spans="1:14">
      <c r="A10" t="s">
        <v>5</v>
      </c>
      <c r="B10" t="s">
        <v>30</v>
      </c>
      <c r="C10" t="s">
        <v>1009</v>
      </c>
      <c r="D10" t="s">
        <v>1010</v>
      </c>
      <c r="E10" t="s">
        <v>1011</v>
      </c>
      <c r="F10" t="s">
        <v>1012</v>
      </c>
      <c r="G10" t="s">
        <v>85</v>
      </c>
      <c r="H10" t="s">
        <v>85</v>
      </c>
      <c r="I10" t="s">
        <v>141</v>
      </c>
      <c r="J10">
        <v>0.07309813079826614</v>
      </c>
      <c r="K10">
        <v>0.05533061481804533</v>
      </c>
      <c r="L10">
        <v>0.00404456451911796</v>
      </c>
      <c r="M10">
        <v>0.0002158252144673405</v>
      </c>
      <c r="N10" t="s">
        <v>1013</v>
      </c>
    </row>
    <row r="11" spans="1:14">
      <c r="A11" t="s">
        <v>5</v>
      </c>
      <c r="B11" t="s">
        <v>30</v>
      </c>
      <c r="C11" t="s">
        <v>1009</v>
      </c>
      <c r="D11" t="s">
        <v>1010</v>
      </c>
      <c r="E11" t="s">
        <v>1011</v>
      </c>
      <c r="F11" t="s">
        <v>1012</v>
      </c>
      <c r="G11" t="s">
        <v>85</v>
      </c>
      <c r="H11" t="s">
        <v>85</v>
      </c>
      <c r="I11" t="s">
        <v>260</v>
      </c>
      <c r="J11">
        <v>0.04922812440806907</v>
      </c>
      <c r="K11">
        <v>0.05533061481804533</v>
      </c>
      <c r="L11">
        <v>0.002723822389837685</v>
      </c>
      <c r="M11">
        <v>8.214180910246338E-05</v>
      </c>
      <c r="N11" t="s">
        <v>1013</v>
      </c>
    </row>
    <row r="12" spans="1:14">
      <c r="A12" t="s">
        <v>5</v>
      </c>
      <c r="B12" t="s">
        <v>30</v>
      </c>
      <c r="C12" t="s">
        <v>1009</v>
      </c>
      <c r="D12" t="s">
        <v>1010</v>
      </c>
      <c r="E12" t="s">
        <v>1011</v>
      </c>
      <c r="F12" t="s">
        <v>1012</v>
      </c>
      <c r="G12" t="s">
        <v>85</v>
      </c>
      <c r="H12" t="s">
        <v>85</v>
      </c>
      <c r="I12" t="s">
        <v>264</v>
      </c>
      <c r="J12">
        <v>0.03054871244798033</v>
      </c>
      <c r="K12">
        <v>0.05533061481804533</v>
      </c>
      <c r="L12">
        <v>0.001690279041646426</v>
      </c>
      <c r="M12">
        <v>6.091095645572707E-05</v>
      </c>
      <c r="N12" t="s">
        <v>1013</v>
      </c>
    </row>
    <row r="13" spans="1:14">
      <c r="A13" t="s">
        <v>5</v>
      </c>
      <c r="B13" t="s">
        <v>30</v>
      </c>
      <c r="C13" t="s">
        <v>1009</v>
      </c>
      <c r="D13" t="s">
        <v>1010</v>
      </c>
      <c r="E13" t="s">
        <v>1011</v>
      </c>
      <c r="F13" t="s">
        <v>1012</v>
      </c>
      <c r="G13" t="s">
        <v>85</v>
      </c>
      <c r="H13" t="s">
        <v>85</v>
      </c>
      <c r="I13" t="s">
        <v>405</v>
      </c>
      <c r="J13">
        <v>0.01934857000973998</v>
      </c>
      <c r="K13">
        <v>0.05533061481804533</v>
      </c>
      <c r="L13">
        <v>0.001070568274488906</v>
      </c>
      <c r="M13">
        <v>5.715794311206119E-05</v>
      </c>
      <c r="N13" t="s">
        <v>1013</v>
      </c>
    </row>
    <row r="14" spans="1:14">
      <c r="A14" t="s">
        <v>5</v>
      </c>
      <c r="B14" t="s">
        <v>30</v>
      </c>
      <c r="C14" t="s">
        <v>1009</v>
      </c>
      <c r="D14" t="s">
        <v>1010</v>
      </c>
      <c r="E14" t="s">
        <v>1011</v>
      </c>
      <c r="F14" t="s">
        <v>1012</v>
      </c>
      <c r="G14" t="s">
        <v>85</v>
      </c>
      <c r="H14" t="s">
        <v>85</v>
      </c>
      <c r="I14" t="s">
        <v>268</v>
      </c>
      <c r="J14">
        <v>0.1710662400026416</v>
      </c>
      <c r="K14">
        <v>0.05533061481804533</v>
      </c>
      <c r="L14">
        <v>0.009465200233957461</v>
      </c>
      <c r="M14">
        <v>0.0003499149809226418</v>
      </c>
      <c r="N14" t="s">
        <v>1013</v>
      </c>
    </row>
    <row r="15" spans="1:14">
      <c r="A15" t="s">
        <v>5</v>
      </c>
      <c r="B15" t="s">
        <v>30</v>
      </c>
      <c r="C15" t="s">
        <v>1009</v>
      </c>
      <c r="D15" t="s">
        <v>1010</v>
      </c>
      <c r="E15" t="s">
        <v>1011</v>
      </c>
      <c r="F15" t="s">
        <v>1012</v>
      </c>
      <c r="G15" t="s">
        <v>85</v>
      </c>
      <c r="H15" t="s">
        <v>85</v>
      </c>
      <c r="I15" t="s">
        <v>408</v>
      </c>
      <c r="J15">
        <v>0.03126993394983376</v>
      </c>
      <c r="K15">
        <v>0.05533061481804533</v>
      </c>
      <c r="L15">
        <v>0.00173018467076397</v>
      </c>
      <c r="M15">
        <v>0.0001215871167086416</v>
      </c>
      <c r="N15" t="s">
        <v>1013</v>
      </c>
    </row>
    <row r="16" spans="1:14">
      <c r="A16" t="s">
        <v>5</v>
      </c>
      <c r="B16" t="s">
        <v>30</v>
      </c>
      <c r="C16" t="s">
        <v>1009</v>
      </c>
      <c r="D16" t="s">
        <v>1010</v>
      </c>
      <c r="E16" t="s">
        <v>1011</v>
      </c>
      <c r="F16" t="s">
        <v>1012</v>
      </c>
      <c r="G16" t="s">
        <v>85</v>
      </c>
      <c r="H16" t="s">
        <v>85</v>
      </c>
      <c r="I16" t="s">
        <v>338</v>
      </c>
      <c r="J16">
        <v>0.0727751139188232</v>
      </c>
      <c r="K16">
        <v>0.05533061481804533</v>
      </c>
      <c r="L16">
        <v>0.004026691796581775</v>
      </c>
      <c r="M16">
        <v>0.0008459436547440705</v>
      </c>
      <c r="N16" t="s">
        <v>1013</v>
      </c>
    </row>
    <row r="17" spans="1:14">
      <c r="A17" t="s">
        <v>5</v>
      </c>
      <c r="B17" t="s">
        <v>30</v>
      </c>
      <c r="C17" t="s">
        <v>1009</v>
      </c>
      <c r="D17" t="s">
        <v>1010</v>
      </c>
      <c r="E17" t="s">
        <v>1011</v>
      </c>
      <c r="F17" t="s">
        <v>1012</v>
      </c>
      <c r="G17" t="s">
        <v>85</v>
      </c>
      <c r="H17" t="s">
        <v>85</v>
      </c>
      <c r="I17" t="s">
        <v>111</v>
      </c>
      <c r="J17">
        <v>0.09839291260026635</v>
      </c>
      <c r="K17">
        <v>0.05533061481804533</v>
      </c>
      <c r="L17">
        <v>0.005444140347910935</v>
      </c>
      <c r="M17">
        <v>9.061485266163342E-05</v>
      </c>
      <c r="N17" t="s">
        <v>1013</v>
      </c>
    </row>
    <row r="18" spans="1:14">
      <c r="A18" t="s">
        <v>5</v>
      </c>
      <c r="B18" t="s">
        <v>30</v>
      </c>
      <c r="C18" t="s">
        <v>1009</v>
      </c>
      <c r="D18" t="s">
        <v>1010</v>
      </c>
      <c r="E18" t="s">
        <v>1011</v>
      </c>
      <c r="F18" t="s">
        <v>1012</v>
      </c>
      <c r="G18" t="s">
        <v>85</v>
      </c>
      <c r="H18" t="s">
        <v>85</v>
      </c>
      <c r="I18" t="s">
        <v>441</v>
      </c>
      <c r="J18">
        <v>0.02030712088033221</v>
      </c>
      <c r="K18">
        <v>0.05533061481804533</v>
      </c>
      <c r="L18">
        <v>0.001123605483493147</v>
      </c>
      <c r="M18">
        <v>9.652968071246969E-05</v>
      </c>
      <c r="N18" t="s">
        <v>1013</v>
      </c>
    </row>
    <row r="19" spans="1:14">
      <c r="A19" t="s">
        <v>5</v>
      </c>
      <c r="B19" t="s">
        <v>30</v>
      </c>
      <c r="C19" t="s">
        <v>1009</v>
      </c>
      <c r="D19" t="s">
        <v>1010</v>
      </c>
      <c r="E19" t="s">
        <v>1011</v>
      </c>
      <c r="F19" t="s">
        <v>1012</v>
      </c>
      <c r="G19" t="s">
        <v>85</v>
      </c>
      <c r="H19" t="s">
        <v>85</v>
      </c>
      <c r="I19" t="s">
        <v>271</v>
      </c>
      <c r="J19">
        <v>0.01788008453764802</v>
      </c>
      <c r="K19">
        <v>0.05533061481804533</v>
      </c>
      <c r="L19">
        <v>0.0009893160704666909</v>
      </c>
      <c r="M19">
        <v>2.342130848642734E-05</v>
      </c>
      <c r="N19" t="s">
        <v>1013</v>
      </c>
    </row>
    <row r="20" spans="1:14">
      <c r="A20" t="s">
        <v>5</v>
      </c>
      <c r="B20" t="s">
        <v>30</v>
      </c>
      <c r="C20" t="s">
        <v>1009</v>
      </c>
      <c r="D20" t="s">
        <v>1010</v>
      </c>
      <c r="E20" t="s">
        <v>1011</v>
      </c>
      <c r="F20" t="s">
        <v>1012</v>
      </c>
      <c r="G20" t="s">
        <v>85</v>
      </c>
      <c r="H20" t="s">
        <v>85</v>
      </c>
      <c r="I20" t="s">
        <v>416</v>
      </c>
      <c r="J20">
        <v>0.04695153450329921</v>
      </c>
      <c r="K20">
        <v>0.05533061481804533</v>
      </c>
      <c r="L20">
        <v>0.002597857270718214</v>
      </c>
      <c r="M20">
        <v>0.0001743528369609539</v>
      </c>
      <c r="N20" t="s">
        <v>1013</v>
      </c>
    </row>
    <row r="21" spans="1:14">
      <c r="A21" t="s">
        <v>5</v>
      </c>
      <c r="B21" t="s">
        <v>30</v>
      </c>
      <c r="C21" t="s">
        <v>1009</v>
      </c>
      <c r="D21" t="s">
        <v>1010</v>
      </c>
      <c r="E21" t="s">
        <v>1011</v>
      </c>
      <c r="F21" t="s">
        <v>1012</v>
      </c>
      <c r="G21" t="s">
        <v>85</v>
      </c>
      <c r="H21" t="s">
        <v>85</v>
      </c>
      <c r="I21" t="s">
        <v>274</v>
      </c>
      <c r="J21">
        <v>0.04225655082100555</v>
      </c>
      <c r="K21">
        <v>0.05533061481804533</v>
      </c>
      <c r="L21">
        <v>0.002338080937016215</v>
      </c>
      <c r="M21">
        <v>9.819743540597291E-05</v>
      </c>
      <c r="N21" t="s">
        <v>1013</v>
      </c>
    </row>
    <row r="22" spans="1:14">
      <c r="A22" t="s">
        <v>5</v>
      </c>
      <c r="B22" t="s">
        <v>30</v>
      </c>
      <c r="C22" t="s">
        <v>1009</v>
      </c>
      <c r="D22" t="s">
        <v>1010</v>
      </c>
      <c r="E22" t="s">
        <v>1011</v>
      </c>
      <c r="F22" t="s">
        <v>1012</v>
      </c>
      <c r="G22" t="s">
        <v>85</v>
      </c>
      <c r="H22" t="s">
        <v>85</v>
      </c>
      <c r="I22" t="s">
        <v>119</v>
      </c>
      <c r="J22">
        <v>0.05657628763472827</v>
      </c>
      <c r="K22">
        <v>0.05533061481804533</v>
      </c>
      <c r="L22">
        <v>0.00313040077895209</v>
      </c>
      <c r="M22">
        <v>7.332866664211971E-05</v>
      </c>
      <c r="N22" t="s">
        <v>1013</v>
      </c>
    </row>
    <row r="23" spans="1:14">
      <c r="A23" t="s">
        <v>5</v>
      </c>
      <c r="B23" t="s">
        <v>30</v>
      </c>
      <c r="C23" t="s">
        <v>1009</v>
      </c>
      <c r="D23" t="s">
        <v>1010</v>
      </c>
      <c r="E23" t="s">
        <v>1011</v>
      </c>
      <c r="F23" t="s">
        <v>1012</v>
      </c>
      <c r="G23" t="s">
        <v>85</v>
      </c>
      <c r="H23" t="s">
        <v>85</v>
      </c>
      <c r="I23" t="s">
        <v>433</v>
      </c>
      <c r="J23">
        <v>0.003032296496588853</v>
      </c>
      <c r="K23">
        <v>0.05533061481804533</v>
      </c>
      <c r="L23">
        <v>0.0001677788294668661</v>
      </c>
      <c r="M23">
        <v>1.328415118502503E-06</v>
      </c>
      <c r="N23" t="s">
        <v>1013</v>
      </c>
    </row>
    <row r="24" spans="1:14">
      <c r="A24" t="s">
        <v>5</v>
      </c>
      <c r="B24" t="s">
        <v>34</v>
      </c>
      <c r="C24" t="s">
        <v>1014</v>
      </c>
      <c r="D24" t="s">
        <v>1015</v>
      </c>
      <c r="E24" t="s">
        <v>1016</v>
      </c>
      <c r="F24" t="s">
        <v>1017</v>
      </c>
      <c r="G24" t="s">
        <v>405</v>
      </c>
      <c r="H24" t="s">
        <v>405</v>
      </c>
      <c r="I24" t="s">
        <v>239</v>
      </c>
      <c r="J24">
        <v>0.02815878271353209</v>
      </c>
      <c r="K24">
        <v>0.09846589791469443</v>
      </c>
      <c r="L24">
        <v>0.002772679824072713</v>
      </c>
      <c r="M24">
        <v>0.0001151923483204284</v>
      </c>
      <c r="N24" t="s">
        <v>1018</v>
      </c>
    </row>
    <row r="25" spans="1:14">
      <c r="A25" t="s">
        <v>5</v>
      </c>
      <c r="B25" t="s">
        <v>34</v>
      </c>
      <c r="C25" t="s">
        <v>1014</v>
      </c>
      <c r="D25" t="s">
        <v>1015</v>
      </c>
      <c r="E25" t="s">
        <v>1016</v>
      </c>
      <c r="F25" t="s">
        <v>1017</v>
      </c>
      <c r="G25" t="s">
        <v>405</v>
      </c>
      <c r="H25" t="s">
        <v>405</v>
      </c>
      <c r="I25" t="s">
        <v>539</v>
      </c>
      <c r="J25">
        <v>0.01178877042931849</v>
      </c>
      <c r="K25">
        <v>0.09846589791469443</v>
      </c>
      <c r="L25">
        <v>0.001160791865633043</v>
      </c>
      <c r="M25">
        <v>2.195558663955065E-05</v>
      </c>
      <c r="N25" t="s">
        <v>1018</v>
      </c>
    </row>
    <row r="26" spans="1:14">
      <c r="A26" t="s">
        <v>5</v>
      </c>
      <c r="B26" t="s">
        <v>34</v>
      </c>
      <c r="C26" t="s">
        <v>1014</v>
      </c>
      <c r="D26" t="s">
        <v>1015</v>
      </c>
      <c r="E26" t="s">
        <v>1016</v>
      </c>
      <c r="F26" t="s">
        <v>1017</v>
      </c>
      <c r="G26" t="s">
        <v>405</v>
      </c>
      <c r="H26" t="s">
        <v>405</v>
      </c>
      <c r="I26" t="s">
        <v>244</v>
      </c>
      <c r="J26">
        <v>0.02288791353362621</v>
      </c>
      <c r="K26">
        <v>0.09846589791469443</v>
      </c>
      <c r="L26">
        <v>0.002253678957482392</v>
      </c>
      <c r="M26">
        <v>0.0001088733795885213</v>
      </c>
      <c r="N26" t="s">
        <v>1018</v>
      </c>
    </row>
    <row r="27" spans="1:14">
      <c r="A27" t="s">
        <v>5</v>
      </c>
      <c r="B27" t="s">
        <v>34</v>
      </c>
      <c r="C27" t="s">
        <v>1014</v>
      </c>
      <c r="D27" t="s">
        <v>1015</v>
      </c>
      <c r="E27" t="s">
        <v>1016</v>
      </c>
      <c r="F27" t="s">
        <v>1017</v>
      </c>
      <c r="G27" t="s">
        <v>405</v>
      </c>
      <c r="H27" t="s">
        <v>405</v>
      </c>
      <c r="I27" t="s">
        <v>246</v>
      </c>
      <c r="J27">
        <v>0.01832603944739317</v>
      </c>
      <c r="K27">
        <v>0.09846589791469443</v>
      </c>
      <c r="L27">
        <v>0.001804489929407679</v>
      </c>
      <c r="M27">
        <v>0.000102006214211853</v>
      </c>
      <c r="N27" t="s">
        <v>1018</v>
      </c>
    </row>
    <row r="28" spans="1:14">
      <c r="A28" t="s">
        <v>5</v>
      </c>
      <c r="B28" t="s">
        <v>34</v>
      </c>
      <c r="C28" t="s">
        <v>1014</v>
      </c>
      <c r="D28" t="s">
        <v>1015</v>
      </c>
      <c r="E28" t="s">
        <v>1016</v>
      </c>
      <c r="F28" t="s">
        <v>1017</v>
      </c>
      <c r="G28" t="s">
        <v>405</v>
      </c>
      <c r="H28" t="s">
        <v>405</v>
      </c>
      <c r="I28" t="s">
        <v>350</v>
      </c>
      <c r="J28">
        <v>0.06405905336626938</v>
      </c>
      <c r="K28">
        <v>0.09846589791469443</v>
      </c>
      <c r="L28">
        <v>0.006307632209275044</v>
      </c>
      <c r="M28">
        <v>0.0001848661257114609</v>
      </c>
      <c r="N28" t="s">
        <v>1018</v>
      </c>
    </row>
    <row r="29" spans="1:14">
      <c r="A29" t="s">
        <v>5</v>
      </c>
      <c r="B29" t="s">
        <v>34</v>
      </c>
      <c r="C29" t="s">
        <v>1014</v>
      </c>
      <c r="D29" t="s">
        <v>1015</v>
      </c>
      <c r="E29" t="s">
        <v>1016</v>
      </c>
      <c r="F29" t="s">
        <v>1017</v>
      </c>
      <c r="G29" t="s">
        <v>405</v>
      </c>
      <c r="H29" t="s">
        <v>405</v>
      </c>
      <c r="I29" t="s">
        <v>507</v>
      </c>
      <c r="J29">
        <v>0.07635111109561361</v>
      </c>
      <c r="K29">
        <v>0.09846589791469443</v>
      </c>
      <c r="L29">
        <v>0.007517980710814182</v>
      </c>
      <c r="M29">
        <v>0.001456973005971741</v>
      </c>
      <c r="N29" t="s">
        <v>1018</v>
      </c>
    </row>
    <row r="30" spans="1:14">
      <c r="A30" t="s">
        <v>5</v>
      </c>
      <c r="B30" t="s">
        <v>34</v>
      </c>
      <c r="C30" t="s">
        <v>1014</v>
      </c>
      <c r="D30" t="s">
        <v>1015</v>
      </c>
      <c r="E30" t="s">
        <v>1016</v>
      </c>
      <c r="F30" t="s">
        <v>1017</v>
      </c>
      <c r="G30" t="s">
        <v>405</v>
      </c>
      <c r="H30" t="s">
        <v>405</v>
      </c>
      <c r="I30" t="s">
        <v>250</v>
      </c>
      <c r="J30">
        <v>0.01138795578415153</v>
      </c>
      <c r="K30">
        <v>0.09846589791469443</v>
      </c>
      <c r="L30">
        <v>0.001121325291699318</v>
      </c>
      <c r="M30">
        <v>9.949647663702915E-05</v>
      </c>
      <c r="N30" t="s">
        <v>1018</v>
      </c>
    </row>
    <row r="31" spans="1:14">
      <c r="A31" t="s">
        <v>5</v>
      </c>
      <c r="B31" t="s">
        <v>34</v>
      </c>
      <c r="C31" t="s">
        <v>1014</v>
      </c>
      <c r="D31" t="s">
        <v>1015</v>
      </c>
      <c r="E31" t="s">
        <v>1016</v>
      </c>
      <c r="F31" t="s">
        <v>1017</v>
      </c>
      <c r="G31" t="s">
        <v>405</v>
      </c>
      <c r="H31" t="s">
        <v>405</v>
      </c>
      <c r="I31" t="s">
        <v>254</v>
      </c>
      <c r="J31">
        <v>0.02381477601145673</v>
      </c>
      <c r="K31">
        <v>0.09846589791469443</v>
      </c>
      <c r="L31">
        <v>0.002344943303605412</v>
      </c>
      <c r="M31">
        <v>5.26716824709212E-05</v>
      </c>
      <c r="N31" t="s">
        <v>1018</v>
      </c>
    </row>
    <row r="32" spans="1:14">
      <c r="A32" t="s">
        <v>5</v>
      </c>
      <c r="B32" t="s">
        <v>34</v>
      </c>
      <c r="C32" t="s">
        <v>1014</v>
      </c>
      <c r="D32" t="s">
        <v>1015</v>
      </c>
      <c r="E32" t="s">
        <v>1016</v>
      </c>
      <c r="F32" t="s">
        <v>1017</v>
      </c>
      <c r="G32" t="s">
        <v>405</v>
      </c>
      <c r="H32" t="s">
        <v>405</v>
      </c>
      <c r="I32" t="s">
        <v>123</v>
      </c>
      <c r="J32">
        <v>0.03305448981010092</v>
      </c>
      <c r="K32">
        <v>0.09846589791469443</v>
      </c>
      <c r="L32">
        <v>0.003254740019263705</v>
      </c>
      <c r="M32">
        <v>0.00021917441207163</v>
      </c>
      <c r="N32" t="s">
        <v>1018</v>
      </c>
    </row>
    <row r="33" spans="1:14">
      <c r="A33" t="s">
        <v>5</v>
      </c>
      <c r="B33" t="s">
        <v>34</v>
      </c>
      <c r="C33" t="s">
        <v>1014</v>
      </c>
      <c r="D33" t="s">
        <v>1015</v>
      </c>
      <c r="E33" t="s">
        <v>1016</v>
      </c>
      <c r="F33" t="s">
        <v>1017</v>
      </c>
      <c r="G33" t="s">
        <v>405</v>
      </c>
      <c r="H33" t="s">
        <v>405</v>
      </c>
      <c r="I33" t="s">
        <v>141</v>
      </c>
      <c r="J33">
        <v>0.145687301662915</v>
      </c>
      <c r="K33">
        <v>0.09846589791469443</v>
      </c>
      <c r="L33">
        <v>0.01434523097300789</v>
      </c>
      <c r="M33">
        <v>0.0002774706184334214</v>
      </c>
      <c r="N33" t="s">
        <v>1018</v>
      </c>
    </row>
    <row r="34" spans="1:14">
      <c r="A34" t="s">
        <v>5</v>
      </c>
      <c r="B34" t="s">
        <v>34</v>
      </c>
      <c r="C34" t="s">
        <v>1014</v>
      </c>
      <c r="D34" t="s">
        <v>1015</v>
      </c>
      <c r="E34" t="s">
        <v>1016</v>
      </c>
      <c r="F34" t="s">
        <v>1017</v>
      </c>
      <c r="G34" t="s">
        <v>405</v>
      </c>
      <c r="H34" t="s">
        <v>405</v>
      </c>
      <c r="I34" t="s">
        <v>513</v>
      </c>
      <c r="J34">
        <v>0.04637888515599316</v>
      </c>
      <c r="K34">
        <v>0.09846589791469443</v>
      </c>
      <c r="L34">
        <v>0.004566738571167359</v>
      </c>
      <c r="M34">
        <v>8.353280722823045E-05</v>
      </c>
      <c r="N34" t="s">
        <v>1018</v>
      </c>
    </row>
    <row r="35" spans="1:14">
      <c r="A35" t="s">
        <v>5</v>
      </c>
      <c r="B35" t="s">
        <v>34</v>
      </c>
      <c r="C35" t="s">
        <v>1014</v>
      </c>
      <c r="D35" t="s">
        <v>1015</v>
      </c>
      <c r="E35" t="s">
        <v>1016</v>
      </c>
      <c r="F35" t="s">
        <v>1017</v>
      </c>
      <c r="G35" t="s">
        <v>405</v>
      </c>
      <c r="H35" t="s">
        <v>405</v>
      </c>
      <c r="I35" t="s">
        <v>260</v>
      </c>
      <c r="J35">
        <v>0.03288644541667356</v>
      </c>
      <c r="K35">
        <v>0.09846589791469443</v>
      </c>
      <c r="L35">
        <v>0.00323819337717535</v>
      </c>
      <c r="M35">
        <v>8.391275919086162E-05</v>
      </c>
      <c r="N35" t="s">
        <v>1018</v>
      </c>
    </row>
    <row r="36" spans="1:14">
      <c r="A36" t="s">
        <v>5</v>
      </c>
      <c r="B36" t="s">
        <v>34</v>
      </c>
      <c r="C36" t="s">
        <v>1014</v>
      </c>
      <c r="D36" t="s">
        <v>1015</v>
      </c>
      <c r="E36" t="s">
        <v>1016</v>
      </c>
      <c r="F36" t="s">
        <v>1017</v>
      </c>
      <c r="G36" t="s">
        <v>405</v>
      </c>
      <c r="H36" t="s">
        <v>405</v>
      </c>
      <c r="I36" t="s">
        <v>264</v>
      </c>
      <c r="J36">
        <v>0.03368360469246819</v>
      </c>
      <c r="K36">
        <v>0.09846589791469443</v>
      </c>
      <c r="L36">
        <v>0.003316686381047495</v>
      </c>
      <c r="M36">
        <v>8.354373755787141E-05</v>
      </c>
      <c r="N36" t="s">
        <v>1018</v>
      </c>
    </row>
    <row r="37" spans="1:14">
      <c r="A37" t="s">
        <v>5</v>
      </c>
      <c r="B37" t="s">
        <v>34</v>
      </c>
      <c r="C37" t="s">
        <v>1014</v>
      </c>
      <c r="D37" t="s">
        <v>1015</v>
      </c>
      <c r="E37" t="s">
        <v>1016</v>
      </c>
      <c r="F37" t="s">
        <v>1017</v>
      </c>
      <c r="G37" t="s">
        <v>405</v>
      </c>
      <c r="H37" t="s">
        <v>405</v>
      </c>
      <c r="I37" t="s">
        <v>268</v>
      </c>
      <c r="J37">
        <v>0.1926747324035724</v>
      </c>
      <c r="K37">
        <v>0.09846589791469443</v>
      </c>
      <c r="L37">
        <v>0.01897189053159123</v>
      </c>
      <c r="M37">
        <v>0.0003959075653504012</v>
      </c>
      <c r="N37" t="s">
        <v>1018</v>
      </c>
    </row>
    <row r="38" spans="1:14">
      <c r="A38" t="s">
        <v>5</v>
      </c>
      <c r="B38" t="s">
        <v>34</v>
      </c>
      <c r="C38" t="s">
        <v>1014</v>
      </c>
      <c r="D38" t="s">
        <v>1015</v>
      </c>
      <c r="E38" t="s">
        <v>1016</v>
      </c>
      <c r="F38" t="s">
        <v>1017</v>
      </c>
      <c r="G38" t="s">
        <v>405</v>
      </c>
      <c r="H38" t="s">
        <v>405</v>
      </c>
      <c r="I38" t="s">
        <v>408</v>
      </c>
      <c r="J38">
        <v>0.01988096941636808</v>
      </c>
      <c r="K38">
        <v>0.09846589791469443</v>
      </c>
      <c r="L38">
        <v>0.001957597504997261</v>
      </c>
      <c r="M38">
        <v>0.0001403295702506997</v>
      </c>
      <c r="N38" t="s">
        <v>1018</v>
      </c>
    </row>
    <row r="39" spans="1:14">
      <c r="A39" t="s">
        <v>5</v>
      </c>
      <c r="B39" t="s">
        <v>34</v>
      </c>
      <c r="C39" t="s">
        <v>1014</v>
      </c>
      <c r="D39" t="s">
        <v>1015</v>
      </c>
      <c r="E39" t="s">
        <v>1016</v>
      </c>
      <c r="F39" t="s">
        <v>1017</v>
      </c>
      <c r="G39" t="s">
        <v>405</v>
      </c>
      <c r="H39" t="s">
        <v>405</v>
      </c>
      <c r="I39" t="s">
        <v>338</v>
      </c>
      <c r="J39">
        <v>0.06931357946069766</v>
      </c>
      <c r="K39">
        <v>0.09846589791469443</v>
      </c>
      <c r="L39">
        <v>0.006825023839279116</v>
      </c>
      <c r="M39">
        <v>0.0009311083000380786</v>
      </c>
      <c r="N39" t="s">
        <v>1018</v>
      </c>
    </row>
    <row r="40" spans="1:14">
      <c r="A40" t="s">
        <v>5</v>
      </c>
      <c r="B40" t="s">
        <v>34</v>
      </c>
      <c r="C40" t="s">
        <v>1014</v>
      </c>
      <c r="D40" t="s">
        <v>1015</v>
      </c>
      <c r="E40" t="s">
        <v>1016</v>
      </c>
      <c r="F40" t="s">
        <v>1017</v>
      </c>
      <c r="G40" t="s">
        <v>405</v>
      </c>
      <c r="H40" t="s">
        <v>405</v>
      </c>
      <c r="I40" t="s">
        <v>441</v>
      </c>
      <c r="J40">
        <v>0.0151971521418337</v>
      </c>
      <c r="K40">
        <v>0.09846589791469443</v>
      </c>
      <c r="L40">
        <v>0.001496401231391877</v>
      </c>
      <c r="M40">
        <v>0.0001156415171091095</v>
      </c>
      <c r="N40" t="s">
        <v>1018</v>
      </c>
    </row>
    <row r="41" spans="1:14">
      <c r="A41" t="s">
        <v>5</v>
      </c>
      <c r="B41" t="s">
        <v>34</v>
      </c>
      <c r="C41" t="s">
        <v>1014</v>
      </c>
      <c r="D41" t="s">
        <v>1015</v>
      </c>
      <c r="E41" t="s">
        <v>1016</v>
      </c>
      <c r="F41" t="s">
        <v>1017</v>
      </c>
      <c r="G41" t="s">
        <v>405</v>
      </c>
      <c r="H41" t="s">
        <v>405</v>
      </c>
      <c r="I41" t="s">
        <v>271</v>
      </c>
      <c r="J41">
        <v>0.01186588968358685</v>
      </c>
      <c r="K41">
        <v>0.09846589791469443</v>
      </c>
      <c r="L41">
        <v>0.001168385482251089</v>
      </c>
      <c r="M41">
        <v>3.587305748391431E-05</v>
      </c>
      <c r="N41" t="s">
        <v>1018</v>
      </c>
    </row>
    <row r="42" spans="1:14">
      <c r="A42" t="s">
        <v>5</v>
      </c>
      <c r="B42" t="s">
        <v>34</v>
      </c>
      <c r="C42" t="s">
        <v>1014</v>
      </c>
      <c r="D42" t="s">
        <v>1015</v>
      </c>
      <c r="E42" t="s">
        <v>1016</v>
      </c>
      <c r="F42" t="s">
        <v>1017</v>
      </c>
      <c r="G42" t="s">
        <v>405</v>
      </c>
      <c r="H42" t="s">
        <v>405</v>
      </c>
      <c r="I42" t="s">
        <v>416</v>
      </c>
      <c r="J42">
        <v>0.04762910096033658</v>
      </c>
      <c r="K42">
        <v>0.09846589791469443</v>
      </c>
      <c r="L42">
        <v>0.004689842192929176</v>
      </c>
      <c r="M42">
        <v>0.0002113493552469209</v>
      </c>
      <c r="N42" t="s">
        <v>1018</v>
      </c>
    </row>
    <row r="43" spans="1:14">
      <c r="A43" t="s">
        <v>5</v>
      </c>
      <c r="B43" t="s">
        <v>34</v>
      </c>
      <c r="C43" t="s">
        <v>1014</v>
      </c>
      <c r="D43" t="s">
        <v>1015</v>
      </c>
      <c r="E43" t="s">
        <v>1016</v>
      </c>
      <c r="F43" t="s">
        <v>1017</v>
      </c>
      <c r="G43" t="s">
        <v>405</v>
      </c>
      <c r="H43" t="s">
        <v>405</v>
      </c>
      <c r="I43" t="s">
        <v>274</v>
      </c>
      <c r="J43">
        <v>0.03516343729367789</v>
      </c>
      <c r="K43">
        <v>0.09846589791469443</v>
      </c>
      <c r="L43">
        <v>0.003462399426889045</v>
      </c>
      <c r="M43">
        <v>0.000121317429113141</v>
      </c>
      <c r="N43" t="s">
        <v>1018</v>
      </c>
    </row>
    <row r="44" spans="1:14">
      <c r="A44" t="s">
        <v>5</v>
      </c>
      <c r="B44" t="s">
        <v>34</v>
      </c>
      <c r="C44" t="s">
        <v>1014</v>
      </c>
      <c r="D44" t="s">
        <v>1015</v>
      </c>
      <c r="E44" t="s">
        <v>1016</v>
      </c>
      <c r="F44" t="s">
        <v>1017</v>
      </c>
      <c r="G44" t="s">
        <v>405</v>
      </c>
      <c r="H44" t="s">
        <v>405</v>
      </c>
      <c r="I44" t="s">
        <v>119</v>
      </c>
      <c r="J44">
        <v>0.05854483237163293</v>
      </c>
      <c r="K44">
        <v>0.09846589791469443</v>
      </c>
      <c r="L44">
        <v>0.005764669487738106</v>
      </c>
      <c r="M44">
        <v>0.0001622936229655998</v>
      </c>
      <c r="N44" t="s">
        <v>1018</v>
      </c>
    </row>
    <row r="45" spans="1:14">
      <c r="A45" t="s">
        <v>5</v>
      </c>
      <c r="B45" t="s">
        <v>34</v>
      </c>
      <c r="C45" t="s">
        <v>1014</v>
      </c>
      <c r="D45" t="s">
        <v>1015</v>
      </c>
      <c r="E45" t="s">
        <v>1016</v>
      </c>
      <c r="F45" t="s">
        <v>1017</v>
      </c>
      <c r="G45" t="s">
        <v>405</v>
      </c>
      <c r="H45" t="s">
        <v>405</v>
      </c>
      <c r="I45" t="s">
        <v>433</v>
      </c>
      <c r="J45">
        <v>0.001265177148781793</v>
      </c>
      <c r="K45">
        <v>0.09846589791469443</v>
      </c>
      <c r="L45">
        <v>0.0001245768039759522</v>
      </c>
      <c r="M45">
        <v>1.402418146751685E-06</v>
      </c>
      <c r="N45" t="s">
        <v>1018</v>
      </c>
    </row>
    <row r="46" spans="1:14">
      <c r="A46" t="s">
        <v>6</v>
      </c>
      <c r="B46" t="s">
        <v>30</v>
      </c>
      <c r="C46" t="s">
        <v>1009</v>
      </c>
      <c r="D46" t="s">
        <v>1010</v>
      </c>
      <c r="E46" t="s">
        <v>1011</v>
      </c>
      <c r="F46" t="s">
        <v>1012</v>
      </c>
      <c r="G46" t="s">
        <v>85</v>
      </c>
      <c r="H46" t="s">
        <v>85</v>
      </c>
      <c r="I46" t="s">
        <v>239</v>
      </c>
      <c r="J46">
        <v>0.03158084022240529</v>
      </c>
      <c r="K46">
        <v>0.05061371365007592</v>
      </c>
      <c r="L46">
        <v>0.001598423603845621</v>
      </c>
      <c r="M46">
        <v>8.269134008513303E-05</v>
      </c>
      <c r="N46" t="s">
        <v>1013</v>
      </c>
    </row>
    <row r="47" spans="1:14">
      <c r="A47" t="s">
        <v>6</v>
      </c>
      <c r="B47" t="s">
        <v>30</v>
      </c>
      <c r="C47" t="s">
        <v>1009</v>
      </c>
      <c r="D47" t="s">
        <v>1010</v>
      </c>
      <c r="E47" t="s">
        <v>1011</v>
      </c>
      <c r="F47" t="s">
        <v>1012</v>
      </c>
      <c r="G47" t="s">
        <v>85</v>
      </c>
      <c r="H47" t="s">
        <v>85</v>
      </c>
      <c r="I47" t="s">
        <v>414</v>
      </c>
      <c r="J47">
        <v>0.006000652779173391</v>
      </c>
      <c r="K47">
        <v>0.05061371365007592</v>
      </c>
      <c r="L47">
        <v>0.0003037153214786143</v>
      </c>
      <c r="M47">
        <v>2.659503690705904E-05</v>
      </c>
      <c r="N47" t="s">
        <v>1013</v>
      </c>
    </row>
    <row r="48" spans="1:14">
      <c r="A48" t="s">
        <v>6</v>
      </c>
      <c r="B48" t="s">
        <v>30</v>
      </c>
      <c r="C48" t="s">
        <v>1009</v>
      </c>
      <c r="D48" t="s">
        <v>1010</v>
      </c>
      <c r="E48" t="s">
        <v>1011</v>
      </c>
      <c r="F48" t="s">
        <v>1012</v>
      </c>
      <c r="G48" t="s">
        <v>85</v>
      </c>
      <c r="H48" t="s">
        <v>85</v>
      </c>
      <c r="I48" t="s">
        <v>244</v>
      </c>
      <c r="J48">
        <v>0.03988412639479615</v>
      </c>
      <c r="K48">
        <v>0.05061371365007592</v>
      </c>
      <c r="L48">
        <v>0.002018683752529647</v>
      </c>
      <c r="M48">
        <v>4.271442557193498E-05</v>
      </c>
      <c r="N48" t="s">
        <v>1013</v>
      </c>
    </row>
    <row r="49" spans="1:14">
      <c r="A49" t="s">
        <v>6</v>
      </c>
      <c r="B49" t="s">
        <v>30</v>
      </c>
      <c r="C49" t="s">
        <v>1009</v>
      </c>
      <c r="D49" t="s">
        <v>1010</v>
      </c>
      <c r="E49" t="s">
        <v>1011</v>
      </c>
      <c r="F49" t="s">
        <v>1012</v>
      </c>
      <c r="G49" t="s">
        <v>85</v>
      </c>
      <c r="H49" t="s">
        <v>85</v>
      </c>
      <c r="I49" t="s">
        <v>246</v>
      </c>
      <c r="J49">
        <v>0.02118403732080735</v>
      </c>
      <c r="K49">
        <v>0.05061371365007592</v>
      </c>
      <c r="L49">
        <v>0.001072202798907865</v>
      </c>
      <c r="M49">
        <v>7.200824707238849E-05</v>
      </c>
      <c r="N49" t="s">
        <v>1013</v>
      </c>
    </row>
    <row r="50" spans="1:14">
      <c r="A50" t="s">
        <v>6</v>
      </c>
      <c r="B50" t="s">
        <v>30</v>
      </c>
      <c r="C50" t="s">
        <v>1009</v>
      </c>
      <c r="D50" t="s">
        <v>1010</v>
      </c>
      <c r="E50" t="s">
        <v>1011</v>
      </c>
      <c r="F50" t="s">
        <v>1012</v>
      </c>
      <c r="G50" t="s">
        <v>85</v>
      </c>
      <c r="H50" t="s">
        <v>85</v>
      </c>
      <c r="I50" t="s">
        <v>350</v>
      </c>
      <c r="J50">
        <v>0.09190295424707592</v>
      </c>
      <c r="K50">
        <v>0.05061371365007592</v>
      </c>
      <c r="L50">
        <v>0.00465154980985753</v>
      </c>
      <c r="M50">
        <v>0.0001457252446697221</v>
      </c>
      <c r="N50" t="s">
        <v>1013</v>
      </c>
    </row>
    <row r="51" spans="1:14">
      <c r="A51" t="s">
        <v>6</v>
      </c>
      <c r="B51" t="s">
        <v>30</v>
      </c>
      <c r="C51" t="s">
        <v>1009</v>
      </c>
      <c r="D51" t="s">
        <v>1010</v>
      </c>
      <c r="E51" t="s">
        <v>1011</v>
      </c>
      <c r="F51" t="s">
        <v>1012</v>
      </c>
      <c r="G51" t="s">
        <v>85</v>
      </c>
      <c r="H51" t="s">
        <v>85</v>
      </c>
      <c r="I51" t="s">
        <v>248</v>
      </c>
      <c r="J51">
        <v>0.02742437575704409</v>
      </c>
      <c r="K51">
        <v>0.05061371365007592</v>
      </c>
      <c r="L51">
        <v>0.001388049501599114</v>
      </c>
      <c r="M51">
        <v>0.0001075173897443156</v>
      </c>
      <c r="N51" t="s">
        <v>1013</v>
      </c>
    </row>
    <row r="52" spans="1:14">
      <c r="A52" t="s">
        <v>6</v>
      </c>
      <c r="B52" t="s">
        <v>30</v>
      </c>
      <c r="C52" t="s">
        <v>1009</v>
      </c>
      <c r="D52" t="s">
        <v>1010</v>
      </c>
      <c r="E52" t="s">
        <v>1011</v>
      </c>
      <c r="F52" t="s">
        <v>1012</v>
      </c>
      <c r="G52" t="s">
        <v>85</v>
      </c>
      <c r="H52" t="s">
        <v>85</v>
      </c>
      <c r="I52" t="s">
        <v>250</v>
      </c>
      <c r="J52">
        <v>0.01370509212092432</v>
      </c>
      <c r="K52">
        <v>0.05061371365007592</v>
      </c>
      <c r="L52">
        <v>0.0006936656081563751</v>
      </c>
      <c r="M52">
        <v>5.518421703710223E-05</v>
      </c>
      <c r="N52" t="s">
        <v>1013</v>
      </c>
    </row>
    <row r="53" spans="1:14">
      <c r="A53" t="s">
        <v>6</v>
      </c>
      <c r="B53" t="s">
        <v>30</v>
      </c>
      <c r="C53" t="s">
        <v>1009</v>
      </c>
      <c r="D53" t="s">
        <v>1010</v>
      </c>
      <c r="E53" t="s">
        <v>1011</v>
      </c>
      <c r="F53" t="s">
        <v>1012</v>
      </c>
      <c r="G53" t="s">
        <v>85</v>
      </c>
      <c r="H53" t="s">
        <v>85</v>
      </c>
      <c r="I53" t="s">
        <v>252</v>
      </c>
      <c r="J53">
        <v>0.009969550351569892</v>
      </c>
      <c r="K53">
        <v>0.05061371365007592</v>
      </c>
      <c r="L53">
        <v>0.0005045959667143723</v>
      </c>
      <c r="M53">
        <v>1.146809015259937E-05</v>
      </c>
      <c r="N53" t="s">
        <v>1013</v>
      </c>
    </row>
    <row r="54" spans="1:14">
      <c r="A54" t="s">
        <v>6</v>
      </c>
      <c r="B54" t="s">
        <v>30</v>
      </c>
      <c r="C54" t="s">
        <v>1009</v>
      </c>
      <c r="D54" t="s">
        <v>1010</v>
      </c>
      <c r="E54" t="s">
        <v>1011</v>
      </c>
      <c r="F54" t="s">
        <v>1012</v>
      </c>
      <c r="G54" t="s">
        <v>85</v>
      </c>
      <c r="H54" t="s">
        <v>85</v>
      </c>
      <c r="I54" t="s">
        <v>254</v>
      </c>
      <c r="J54">
        <v>0.01543725650993405</v>
      </c>
      <c r="K54">
        <v>0.05061371365007592</v>
      </c>
      <c r="L54">
        <v>0.0007813368805365725</v>
      </c>
      <c r="M54">
        <v>2.241999657206808E-05</v>
      </c>
      <c r="N54" t="s">
        <v>1013</v>
      </c>
    </row>
    <row r="55" spans="1:14">
      <c r="A55" t="s">
        <v>6</v>
      </c>
      <c r="B55" t="s">
        <v>30</v>
      </c>
      <c r="C55" t="s">
        <v>1009</v>
      </c>
      <c r="D55" t="s">
        <v>1010</v>
      </c>
      <c r="E55" t="s">
        <v>1011</v>
      </c>
      <c r="F55" t="s">
        <v>1012</v>
      </c>
      <c r="G55" t="s">
        <v>85</v>
      </c>
      <c r="H55" t="s">
        <v>85</v>
      </c>
      <c r="I55" t="s">
        <v>256</v>
      </c>
      <c r="J55">
        <v>0.02702008254548674</v>
      </c>
      <c r="K55">
        <v>0.05061371365007592</v>
      </c>
      <c r="L55">
        <v>0.00136758672075868</v>
      </c>
      <c r="M55">
        <v>0.0001543551603565102</v>
      </c>
      <c r="N55" t="s">
        <v>1013</v>
      </c>
    </row>
    <row r="56" spans="1:14">
      <c r="A56" t="s">
        <v>6</v>
      </c>
      <c r="B56" t="s">
        <v>30</v>
      </c>
      <c r="C56" t="s">
        <v>1009</v>
      </c>
      <c r="D56" t="s">
        <v>1010</v>
      </c>
      <c r="E56" t="s">
        <v>1011</v>
      </c>
      <c r="F56" t="s">
        <v>1012</v>
      </c>
      <c r="G56" t="s">
        <v>85</v>
      </c>
      <c r="H56" t="s">
        <v>85</v>
      </c>
      <c r="I56" t="s">
        <v>141</v>
      </c>
      <c r="J56">
        <v>0.06991191501277758</v>
      </c>
      <c r="K56">
        <v>0.05061371365007592</v>
      </c>
      <c r="L56">
        <v>0.003538501647185168</v>
      </c>
      <c r="M56">
        <v>0.000188820792272421</v>
      </c>
      <c r="N56" t="s">
        <v>1013</v>
      </c>
    </row>
    <row r="57" spans="1:14">
      <c r="A57" t="s">
        <v>6</v>
      </c>
      <c r="B57" t="s">
        <v>30</v>
      </c>
      <c r="C57" t="s">
        <v>1009</v>
      </c>
      <c r="D57" t="s">
        <v>1010</v>
      </c>
      <c r="E57" t="s">
        <v>1011</v>
      </c>
      <c r="F57" t="s">
        <v>1012</v>
      </c>
      <c r="G57" t="s">
        <v>85</v>
      </c>
      <c r="H57" t="s">
        <v>85</v>
      </c>
      <c r="I57" t="s">
        <v>260</v>
      </c>
      <c r="J57">
        <v>0.04655047911312757</v>
      </c>
      <c r="K57">
        <v>0.05061371365007592</v>
      </c>
      <c r="L57">
        <v>0.002356092620105679</v>
      </c>
      <c r="M57">
        <v>7.10522503047551E-05</v>
      </c>
      <c r="N57" t="s">
        <v>1013</v>
      </c>
    </row>
    <row r="58" spans="1:14">
      <c r="A58" t="s">
        <v>6</v>
      </c>
      <c r="B58" t="s">
        <v>30</v>
      </c>
      <c r="C58" t="s">
        <v>1009</v>
      </c>
      <c r="D58" t="s">
        <v>1010</v>
      </c>
      <c r="E58" t="s">
        <v>1011</v>
      </c>
      <c r="F58" t="s">
        <v>1012</v>
      </c>
      <c r="G58" t="s">
        <v>85</v>
      </c>
      <c r="H58" t="s">
        <v>85</v>
      </c>
      <c r="I58" t="s">
        <v>379</v>
      </c>
      <c r="J58">
        <v>0.002639648952801563</v>
      </c>
      <c r="K58">
        <v>0.05061371365007592</v>
      </c>
      <c r="L58">
        <v>0.0001336024362338211</v>
      </c>
      <c r="M58">
        <v>3.05028393227902E-06</v>
      </c>
      <c r="N58" t="s">
        <v>1013</v>
      </c>
    </row>
    <row r="59" spans="1:14">
      <c r="A59" t="s">
        <v>6</v>
      </c>
      <c r="B59" t="s">
        <v>30</v>
      </c>
      <c r="C59" t="s">
        <v>1009</v>
      </c>
      <c r="D59" t="s">
        <v>1010</v>
      </c>
      <c r="E59" t="s">
        <v>1011</v>
      </c>
      <c r="F59" t="s">
        <v>1012</v>
      </c>
      <c r="G59" t="s">
        <v>85</v>
      </c>
      <c r="H59" t="s">
        <v>85</v>
      </c>
      <c r="I59" t="s">
        <v>264</v>
      </c>
      <c r="J59">
        <v>0.02888708879003228</v>
      </c>
      <c r="K59">
        <v>0.05061371365007592</v>
      </c>
      <c r="L59">
        <v>0.001462082840203012</v>
      </c>
      <c r="M59">
        <v>5.268766991722565E-05</v>
      </c>
      <c r="N59" t="s">
        <v>1013</v>
      </c>
    </row>
    <row r="60" spans="1:14">
      <c r="A60" t="s">
        <v>6</v>
      </c>
      <c r="B60" t="s">
        <v>30</v>
      </c>
      <c r="C60" t="s">
        <v>1009</v>
      </c>
      <c r="D60" t="s">
        <v>1010</v>
      </c>
      <c r="E60" t="s">
        <v>1011</v>
      </c>
      <c r="F60" t="s">
        <v>1012</v>
      </c>
      <c r="G60" t="s">
        <v>85</v>
      </c>
      <c r="H60" t="s">
        <v>85</v>
      </c>
      <c r="I60" t="s">
        <v>266</v>
      </c>
      <c r="J60">
        <v>0.001599112040000827</v>
      </c>
      <c r="K60">
        <v>0.05061371365007592</v>
      </c>
      <c r="L60">
        <v>8.09369988869906E-05</v>
      </c>
      <c r="M60">
        <v>1.458324304270101E-05</v>
      </c>
      <c r="N60" t="s">
        <v>1013</v>
      </c>
    </row>
    <row r="61" spans="1:14">
      <c r="A61" t="s">
        <v>6</v>
      </c>
      <c r="B61" t="s">
        <v>30</v>
      </c>
      <c r="C61" t="s">
        <v>1009</v>
      </c>
      <c r="D61" t="s">
        <v>1010</v>
      </c>
      <c r="E61" t="s">
        <v>1011</v>
      </c>
      <c r="F61" t="s">
        <v>1012</v>
      </c>
      <c r="G61" t="s">
        <v>85</v>
      </c>
      <c r="H61" t="s">
        <v>85</v>
      </c>
      <c r="I61" t="s">
        <v>405</v>
      </c>
      <c r="J61">
        <v>0.02034098039657279</v>
      </c>
      <c r="K61">
        <v>0.05061371365007592</v>
      </c>
      <c r="L61">
        <v>0.001029532557153943</v>
      </c>
      <c r="M61">
        <v>5.496703455173213E-05</v>
      </c>
      <c r="N61" t="s">
        <v>1013</v>
      </c>
    </row>
    <row r="62" spans="1:14">
      <c r="A62" t="s">
        <v>6</v>
      </c>
      <c r="B62" t="s">
        <v>30</v>
      </c>
      <c r="C62" t="s">
        <v>1009</v>
      </c>
      <c r="D62" t="s">
        <v>1010</v>
      </c>
      <c r="E62" t="s">
        <v>1011</v>
      </c>
      <c r="F62" t="s">
        <v>1012</v>
      </c>
      <c r="G62" t="s">
        <v>85</v>
      </c>
      <c r="H62" t="s">
        <v>85</v>
      </c>
      <c r="I62" t="s">
        <v>268</v>
      </c>
      <c r="J62">
        <v>0.1617615037736228</v>
      </c>
      <c r="K62">
        <v>0.05061371365007592</v>
      </c>
      <c r="L62">
        <v>0.008187350431603818</v>
      </c>
      <c r="M62">
        <v>0.0003026746924807327</v>
      </c>
      <c r="N62" t="s">
        <v>1013</v>
      </c>
    </row>
    <row r="63" spans="1:14">
      <c r="A63" t="s">
        <v>6</v>
      </c>
      <c r="B63" t="s">
        <v>30</v>
      </c>
      <c r="C63" t="s">
        <v>1009</v>
      </c>
      <c r="D63" t="s">
        <v>1010</v>
      </c>
      <c r="E63" t="s">
        <v>1011</v>
      </c>
      <c r="F63" t="s">
        <v>1012</v>
      </c>
      <c r="G63" t="s">
        <v>85</v>
      </c>
      <c r="H63" t="s">
        <v>85</v>
      </c>
      <c r="I63" t="s">
        <v>408</v>
      </c>
      <c r="J63">
        <v>0.0328738047905093</v>
      </c>
      <c r="K63">
        <v>0.05061371365007592</v>
      </c>
      <c r="L63">
        <v>0.001663865342255331</v>
      </c>
      <c r="M63">
        <v>0.0001169265876497071</v>
      </c>
      <c r="N63" t="s">
        <v>1013</v>
      </c>
    </row>
    <row r="64" spans="1:14">
      <c r="A64" t="s">
        <v>6</v>
      </c>
      <c r="B64" t="s">
        <v>30</v>
      </c>
      <c r="C64" t="s">
        <v>1009</v>
      </c>
      <c r="D64" t="s">
        <v>1010</v>
      </c>
      <c r="E64" t="s">
        <v>1011</v>
      </c>
      <c r="F64" t="s">
        <v>1012</v>
      </c>
      <c r="G64" t="s">
        <v>85</v>
      </c>
      <c r="H64" t="s">
        <v>85</v>
      </c>
      <c r="I64" t="s">
        <v>338</v>
      </c>
      <c r="J64">
        <v>0.07995035907918725</v>
      </c>
      <c r="K64">
        <v>0.05061371365007592</v>
      </c>
      <c r="L64">
        <v>0.004046584580654732</v>
      </c>
      <c r="M64">
        <v>0.0008501228110619185</v>
      </c>
      <c r="N64" t="s">
        <v>1013</v>
      </c>
    </row>
    <row r="65" spans="1:14">
      <c r="A65" t="s">
        <v>6</v>
      </c>
      <c r="B65" t="s">
        <v>30</v>
      </c>
      <c r="C65" t="s">
        <v>1009</v>
      </c>
      <c r="D65" t="s">
        <v>1010</v>
      </c>
      <c r="E65" t="s">
        <v>1011</v>
      </c>
      <c r="F65" t="s">
        <v>1012</v>
      </c>
      <c r="G65" t="s">
        <v>85</v>
      </c>
      <c r="H65" t="s">
        <v>85</v>
      </c>
      <c r="I65" t="s">
        <v>111</v>
      </c>
      <c r="J65">
        <v>0.09304106703134371</v>
      </c>
      <c r="K65">
        <v>0.05061371365007592</v>
      </c>
      <c r="L65">
        <v>0.00470915392442195</v>
      </c>
      <c r="M65">
        <v>7.838139022007241E-05</v>
      </c>
      <c r="N65" t="s">
        <v>1013</v>
      </c>
    </row>
    <row r="66" spans="1:14">
      <c r="A66" t="s">
        <v>6</v>
      </c>
      <c r="B66" t="s">
        <v>30</v>
      </c>
      <c r="C66" t="s">
        <v>1009</v>
      </c>
      <c r="D66" t="s">
        <v>1010</v>
      </c>
      <c r="E66" t="s">
        <v>1011</v>
      </c>
      <c r="F66" t="s">
        <v>1012</v>
      </c>
      <c r="G66" t="s">
        <v>85</v>
      </c>
      <c r="H66" t="s">
        <v>85</v>
      </c>
      <c r="I66" t="s">
        <v>441</v>
      </c>
      <c r="J66">
        <v>0.02070538733599209</v>
      </c>
      <c r="K66">
        <v>0.05061371365007592</v>
      </c>
      <c r="L66">
        <v>0.001047976545637812</v>
      </c>
      <c r="M66">
        <v>9.003234928159896E-05</v>
      </c>
      <c r="N66" t="s">
        <v>1013</v>
      </c>
    </row>
    <row r="67" spans="1:14">
      <c r="A67" t="s">
        <v>6</v>
      </c>
      <c r="B67" t="s">
        <v>30</v>
      </c>
      <c r="C67" t="s">
        <v>1009</v>
      </c>
      <c r="D67" t="s">
        <v>1010</v>
      </c>
      <c r="E67" t="s">
        <v>1011</v>
      </c>
      <c r="F67" t="s">
        <v>1012</v>
      </c>
      <c r="G67" t="s">
        <v>85</v>
      </c>
      <c r="H67" t="s">
        <v>85</v>
      </c>
      <c r="I67" t="s">
        <v>271</v>
      </c>
      <c r="J67">
        <v>0.01690754039116532</v>
      </c>
      <c r="K67">
        <v>0.05061371365007592</v>
      </c>
      <c r="L67">
        <v>0.0008557534078855341</v>
      </c>
      <c r="M67">
        <v>2.025931363365374E-05</v>
      </c>
      <c r="N67" t="s">
        <v>1013</v>
      </c>
    </row>
    <row r="68" spans="1:14">
      <c r="A68" t="s">
        <v>6</v>
      </c>
      <c r="B68" t="s">
        <v>30</v>
      </c>
      <c r="C68" t="s">
        <v>1009</v>
      </c>
      <c r="D68" t="s">
        <v>1010</v>
      </c>
      <c r="E68" t="s">
        <v>1011</v>
      </c>
      <c r="F68" t="s">
        <v>1012</v>
      </c>
      <c r="G68" t="s">
        <v>85</v>
      </c>
      <c r="H68" t="s">
        <v>85</v>
      </c>
      <c r="I68" t="s">
        <v>416</v>
      </c>
      <c r="J68">
        <v>0.04439771883461942</v>
      </c>
      <c r="K68">
        <v>0.05061371365007592</v>
      </c>
      <c r="L68">
        <v>0.00224713342781201</v>
      </c>
      <c r="M68">
        <v>0.0001508143240142288</v>
      </c>
      <c r="N68" t="s">
        <v>1013</v>
      </c>
    </row>
    <row r="69" spans="1:14">
      <c r="A69" t="s">
        <v>6</v>
      </c>
      <c r="B69" t="s">
        <v>30</v>
      </c>
      <c r="C69" t="s">
        <v>1009</v>
      </c>
      <c r="D69" t="s">
        <v>1010</v>
      </c>
      <c r="E69" t="s">
        <v>1011</v>
      </c>
      <c r="F69" t="s">
        <v>1012</v>
      </c>
      <c r="G69" t="s">
        <v>85</v>
      </c>
      <c r="H69" t="s">
        <v>85</v>
      </c>
      <c r="I69" t="s">
        <v>274</v>
      </c>
      <c r="J69">
        <v>0.03995810748507021</v>
      </c>
      <c r="K69">
        <v>0.05061371365007592</v>
      </c>
      <c r="L69">
        <v>0.002022428210248299</v>
      </c>
      <c r="M69">
        <v>8.494028602470808E-05</v>
      </c>
      <c r="N69" t="s">
        <v>1013</v>
      </c>
    </row>
    <row r="70" spans="1:14">
      <c r="A70" t="s">
        <v>6</v>
      </c>
      <c r="B70" t="s">
        <v>30</v>
      </c>
      <c r="C70" t="s">
        <v>1009</v>
      </c>
      <c r="D70" t="s">
        <v>1010</v>
      </c>
      <c r="E70" t="s">
        <v>1011</v>
      </c>
      <c r="F70" t="s">
        <v>1012</v>
      </c>
      <c r="G70" t="s">
        <v>85</v>
      </c>
      <c r="H70" t="s">
        <v>85</v>
      </c>
      <c r="I70" t="s">
        <v>119</v>
      </c>
      <c r="J70">
        <v>0.05349895669409311</v>
      </c>
      <c r="K70">
        <v>0.05061371365007592</v>
      </c>
      <c r="L70">
        <v>0.002707780874692642</v>
      </c>
      <c r="M70">
        <v>6.342892655639826E-05</v>
      </c>
      <c r="N70" t="s">
        <v>1013</v>
      </c>
    </row>
    <row r="71" spans="1:14">
      <c r="A71" t="s">
        <v>6</v>
      </c>
      <c r="B71" t="s">
        <v>30</v>
      </c>
      <c r="C71" t="s">
        <v>1009</v>
      </c>
      <c r="D71" t="s">
        <v>1010</v>
      </c>
      <c r="E71" t="s">
        <v>1011</v>
      </c>
      <c r="F71" t="s">
        <v>1012</v>
      </c>
      <c r="G71" t="s">
        <v>85</v>
      </c>
      <c r="H71" t="s">
        <v>85</v>
      </c>
      <c r="I71" t="s">
        <v>433</v>
      </c>
      <c r="J71">
        <v>0.00286736202986706</v>
      </c>
      <c r="K71">
        <v>0.05061371365007592</v>
      </c>
      <c r="L71">
        <v>0.0001451278407107918</v>
      </c>
      <c r="M71">
        <v>1.149072373007061E-06</v>
      </c>
      <c r="N71" t="s">
        <v>1013</v>
      </c>
    </row>
    <row r="72" spans="1:14">
      <c r="A72" t="s">
        <v>6</v>
      </c>
      <c r="B72" t="s">
        <v>34</v>
      </c>
      <c r="C72" t="s">
        <v>1014</v>
      </c>
      <c r="D72" t="s">
        <v>1015</v>
      </c>
      <c r="E72" t="s">
        <v>1016</v>
      </c>
      <c r="F72" t="s">
        <v>1017</v>
      </c>
      <c r="G72" t="s">
        <v>405</v>
      </c>
      <c r="H72" t="s">
        <v>405</v>
      </c>
      <c r="I72" t="s">
        <v>239</v>
      </c>
      <c r="J72">
        <v>0.02484324153822703</v>
      </c>
      <c r="K72">
        <v>0.09386884323116695</v>
      </c>
      <c r="L72">
        <v>0.002332006345305849</v>
      </c>
      <c r="M72">
        <v>9.688435169529907E-05</v>
      </c>
      <c r="N72" t="s">
        <v>1018</v>
      </c>
    </row>
    <row r="73" spans="1:14">
      <c r="A73" t="s">
        <v>6</v>
      </c>
      <c r="B73" t="s">
        <v>34</v>
      </c>
      <c r="C73" t="s">
        <v>1014</v>
      </c>
      <c r="D73" t="s">
        <v>1015</v>
      </c>
      <c r="E73" t="s">
        <v>1016</v>
      </c>
      <c r="F73" t="s">
        <v>1017</v>
      </c>
      <c r="G73" t="s">
        <v>405</v>
      </c>
      <c r="H73" t="s">
        <v>405</v>
      </c>
      <c r="I73" t="s">
        <v>502</v>
      </c>
      <c r="J73">
        <v>0.002696039766967345</v>
      </c>
      <c r="K73">
        <v>0.09386884323116695</v>
      </c>
      <c r="L73">
        <v>0.0002530741342304496</v>
      </c>
      <c r="M73">
        <v>2.000586041347428E-05</v>
      </c>
      <c r="N73" t="s">
        <v>1018</v>
      </c>
    </row>
    <row r="74" spans="1:14">
      <c r="A74" t="s">
        <v>6</v>
      </c>
      <c r="B74" t="s">
        <v>34</v>
      </c>
      <c r="C74" t="s">
        <v>1014</v>
      </c>
      <c r="D74" t="s">
        <v>1015</v>
      </c>
      <c r="E74" t="s">
        <v>1016</v>
      </c>
      <c r="F74" t="s">
        <v>1017</v>
      </c>
      <c r="G74" t="s">
        <v>405</v>
      </c>
      <c r="H74" t="s">
        <v>405</v>
      </c>
      <c r="I74" t="s">
        <v>539</v>
      </c>
      <c r="J74">
        <v>0.005905523914765579</v>
      </c>
      <c r="K74">
        <v>0.09386884323116695</v>
      </c>
      <c r="L74">
        <v>0.0005543446985530376</v>
      </c>
      <c r="M74">
        <v>1.048505198700657E-05</v>
      </c>
      <c r="N74" t="s">
        <v>1018</v>
      </c>
    </row>
    <row r="75" spans="1:14">
      <c r="A75" t="s">
        <v>6</v>
      </c>
      <c r="B75" t="s">
        <v>34</v>
      </c>
      <c r="C75" t="s">
        <v>1014</v>
      </c>
      <c r="D75" t="s">
        <v>1015</v>
      </c>
      <c r="E75" t="s">
        <v>1016</v>
      </c>
      <c r="F75" t="s">
        <v>1017</v>
      </c>
      <c r="G75" t="s">
        <v>405</v>
      </c>
      <c r="H75" t="s">
        <v>405</v>
      </c>
      <c r="I75" t="s">
        <v>244</v>
      </c>
      <c r="J75">
        <v>0.02019298809918651</v>
      </c>
      <c r="K75">
        <v>0.09386884323116695</v>
      </c>
      <c r="L75">
        <v>0.001895492434251359</v>
      </c>
      <c r="M75">
        <v>9.15696828140753E-05</v>
      </c>
      <c r="N75" t="s">
        <v>1018</v>
      </c>
    </row>
    <row r="76" spans="1:14">
      <c r="A76" t="s">
        <v>6</v>
      </c>
      <c r="B76" t="s">
        <v>34</v>
      </c>
      <c r="C76" t="s">
        <v>1014</v>
      </c>
      <c r="D76" t="s">
        <v>1015</v>
      </c>
      <c r="E76" t="s">
        <v>1016</v>
      </c>
      <c r="F76" t="s">
        <v>1017</v>
      </c>
      <c r="G76" t="s">
        <v>405</v>
      </c>
      <c r="H76" t="s">
        <v>405</v>
      </c>
      <c r="I76" t="s">
        <v>246</v>
      </c>
      <c r="J76">
        <v>0.01616824949651944</v>
      </c>
      <c r="K76">
        <v>0.09386884323116695</v>
      </c>
      <c r="L76">
        <v>0.001517694877311177</v>
      </c>
      <c r="M76">
        <v>8.579394444947297E-05</v>
      </c>
      <c r="N76" t="s">
        <v>1018</v>
      </c>
    </row>
    <row r="77" spans="1:14">
      <c r="A77" t="s">
        <v>6</v>
      </c>
      <c r="B77" t="s">
        <v>34</v>
      </c>
      <c r="C77" t="s">
        <v>1014</v>
      </c>
      <c r="D77" t="s">
        <v>1015</v>
      </c>
      <c r="E77" t="s">
        <v>1016</v>
      </c>
      <c r="F77" t="s">
        <v>1017</v>
      </c>
      <c r="G77" t="s">
        <v>405</v>
      </c>
      <c r="H77" t="s">
        <v>405</v>
      </c>
      <c r="I77" t="s">
        <v>350</v>
      </c>
      <c r="J77">
        <v>0.0647123417351165</v>
      </c>
      <c r="K77">
        <v>0.09386884323116695</v>
      </c>
      <c r="L77">
        <v>0.006074472661455353</v>
      </c>
      <c r="M77">
        <v>0.0001780326102419506</v>
      </c>
      <c r="N77" t="s">
        <v>1018</v>
      </c>
    </row>
    <row r="78" spans="1:14">
      <c r="A78" t="s">
        <v>6</v>
      </c>
      <c r="B78" t="s">
        <v>34</v>
      </c>
      <c r="C78" t="s">
        <v>1014</v>
      </c>
      <c r="D78" t="s">
        <v>1015</v>
      </c>
      <c r="E78" t="s">
        <v>1016</v>
      </c>
      <c r="F78" t="s">
        <v>1017</v>
      </c>
      <c r="G78" t="s">
        <v>405</v>
      </c>
      <c r="H78" t="s">
        <v>405</v>
      </c>
      <c r="I78" t="s">
        <v>507</v>
      </c>
      <c r="J78">
        <v>0.03824769641562488</v>
      </c>
      <c r="K78">
        <v>0.09386884323116695</v>
      </c>
      <c r="L78">
        <v>0.003590267018791558</v>
      </c>
      <c r="M78">
        <v>0.0006957881819363485</v>
      </c>
      <c r="N78" t="s">
        <v>1018</v>
      </c>
    </row>
    <row r="79" spans="1:14">
      <c r="A79" t="s">
        <v>6</v>
      </c>
      <c r="B79" t="s">
        <v>34</v>
      </c>
      <c r="C79" t="s">
        <v>1014</v>
      </c>
      <c r="D79" t="s">
        <v>1015</v>
      </c>
      <c r="E79" t="s">
        <v>1016</v>
      </c>
      <c r="F79" t="s">
        <v>1017</v>
      </c>
      <c r="G79" t="s">
        <v>405</v>
      </c>
      <c r="H79" t="s">
        <v>405</v>
      </c>
      <c r="I79" t="s">
        <v>248</v>
      </c>
      <c r="J79">
        <v>0.01967236814154986</v>
      </c>
      <c r="K79">
        <v>0.09386884323116695</v>
      </c>
      <c r="L79">
        <v>0.001846622441064947</v>
      </c>
      <c r="M79">
        <v>0.0001282376695183991</v>
      </c>
      <c r="N79" t="s">
        <v>1018</v>
      </c>
    </row>
    <row r="80" spans="1:14">
      <c r="A80" t="s">
        <v>6</v>
      </c>
      <c r="B80" t="s">
        <v>34</v>
      </c>
      <c r="C80" t="s">
        <v>1014</v>
      </c>
      <c r="D80" t="s">
        <v>1015</v>
      </c>
      <c r="E80" t="s">
        <v>1016</v>
      </c>
      <c r="F80" t="s">
        <v>1017</v>
      </c>
      <c r="G80" t="s">
        <v>405</v>
      </c>
      <c r="H80" t="s">
        <v>405</v>
      </c>
      <c r="I80" t="s">
        <v>250</v>
      </c>
      <c r="J80">
        <v>0.01004708687340977</v>
      </c>
      <c r="K80">
        <v>0.09386884323116695</v>
      </c>
      <c r="L80">
        <v>0.000943108422650017</v>
      </c>
      <c r="M80">
        <v>8.368308985359512E-05</v>
      </c>
      <c r="N80" t="s">
        <v>1018</v>
      </c>
    </row>
    <row r="81" spans="1:14">
      <c r="A81" t="s">
        <v>6</v>
      </c>
      <c r="B81" t="s">
        <v>34</v>
      </c>
      <c r="C81" t="s">
        <v>1014</v>
      </c>
      <c r="D81" t="s">
        <v>1015</v>
      </c>
      <c r="E81" t="s">
        <v>1016</v>
      </c>
      <c r="F81" t="s">
        <v>1017</v>
      </c>
      <c r="G81" t="s">
        <v>405</v>
      </c>
      <c r="H81" t="s">
        <v>405</v>
      </c>
      <c r="I81" t="s">
        <v>252</v>
      </c>
      <c r="J81">
        <v>0.004237301293699565</v>
      </c>
      <c r="K81">
        <v>0.09386884323116695</v>
      </c>
      <c r="L81">
        <v>0.0003977505708615054</v>
      </c>
      <c r="M81">
        <v>1.217852329643311E-05</v>
      </c>
      <c r="N81" t="s">
        <v>1018</v>
      </c>
    </row>
    <row r="82" spans="1:14">
      <c r="A82" t="s">
        <v>6</v>
      </c>
      <c r="B82" t="s">
        <v>34</v>
      </c>
      <c r="C82" t="s">
        <v>1014</v>
      </c>
      <c r="D82" t="s">
        <v>1015</v>
      </c>
      <c r="E82" t="s">
        <v>1016</v>
      </c>
      <c r="F82" t="s">
        <v>1017</v>
      </c>
      <c r="G82" t="s">
        <v>405</v>
      </c>
      <c r="H82" t="s">
        <v>405</v>
      </c>
      <c r="I82" t="s">
        <v>254</v>
      </c>
      <c r="J82">
        <v>0.01249311801470207</v>
      </c>
      <c r="K82">
        <v>0.09386884323116695</v>
      </c>
      <c r="L82">
        <v>0.001172714536390536</v>
      </c>
      <c r="M82">
        <v>2.634129686411806E-05</v>
      </c>
      <c r="N82" t="s">
        <v>1018</v>
      </c>
    </row>
    <row r="83" spans="1:14">
      <c r="A83" t="s">
        <v>6</v>
      </c>
      <c r="B83" t="s">
        <v>34</v>
      </c>
      <c r="C83" t="s">
        <v>1014</v>
      </c>
      <c r="D83" t="s">
        <v>1015</v>
      </c>
      <c r="E83" t="s">
        <v>1016</v>
      </c>
      <c r="F83" t="s">
        <v>1017</v>
      </c>
      <c r="G83" t="s">
        <v>405</v>
      </c>
      <c r="H83" t="s">
        <v>405</v>
      </c>
      <c r="I83" t="s">
        <v>123</v>
      </c>
      <c r="J83">
        <v>0.02916250615764622</v>
      </c>
      <c r="K83">
        <v>0.09386884323116695</v>
      </c>
      <c r="L83">
        <v>0.002737450718740034</v>
      </c>
      <c r="M83">
        <v>0.0001843401157400696</v>
      </c>
      <c r="N83" t="s">
        <v>1018</v>
      </c>
    </row>
    <row r="84" spans="1:14">
      <c r="A84" t="s">
        <v>6</v>
      </c>
      <c r="B84" t="s">
        <v>34</v>
      </c>
      <c r="C84" t="s">
        <v>1014</v>
      </c>
      <c r="D84" t="s">
        <v>1015</v>
      </c>
      <c r="E84" t="s">
        <v>1016</v>
      </c>
      <c r="F84" t="s">
        <v>1017</v>
      </c>
      <c r="G84" t="s">
        <v>405</v>
      </c>
      <c r="H84" t="s">
        <v>405</v>
      </c>
      <c r="I84" t="s">
        <v>141</v>
      </c>
      <c r="J84">
        <v>0.1300020335376441</v>
      </c>
      <c r="K84">
        <v>0.09386884323116695</v>
      </c>
      <c r="L84">
        <v>0.01220314050587803</v>
      </c>
      <c r="M84">
        <v>0.0002360375339628245</v>
      </c>
      <c r="N84" t="s">
        <v>1018</v>
      </c>
    </row>
    <row r="85" spans="1:14">
      <c r="A85" t="s">
        <v>6</v>
      </c>
      <c r="B85" t="s">
        <v>34</v>
      </c>
      <c r="C85" t="s">
        <v>1014</v>
      </c>
      <c r="D85" t="s">
        <v>1015</v>
      </c>
      <c r="E85" t="s">
        <v>1016</v>
      </c>
      <c r="F85" t="s">
        <v>1017</v>
      </c>
      <c r="G85" t="s">
        <v>405</v>
      </c>
      <c r="H85" t="s">
        <v>405</v>
      </c>
      <c r="I85" t="s">
        <v>513</v>
      </c>
      <c r="J85">
        <v>0.02323326398380952</v>
      </c>
      <c r="K85">
        <v>0.09386884323116695</v>
      </c>
      <c r="L85">
        <v>0.002180879614644533</v>
      </c>
      <c r="M85">
        <v>3.989170687112736E-05</v>
      </c>
      <c r="N85" t="s">
        <v>1018</v>
      </c>
    </row>
    <row r="86" spans="1:14">
      <c r="A86" t="s">
        <v>6</v>
      </c>
      <c r="B86" t="s">
        <v>34</v>
      </c>
      <c r="C86" t="s">
        <v>1014</v>
      </c>
      <c r="D86" t="s">
        <v>1015</v>
      </c>
      <c r="E86" t="s">
        <v>1016</v>
      </c>
      <c r="F86" t="s">
        <v>1017</v>
      </c>
      <c r="G86" t="s">
        <v>405</v>
      </c>
      <c r="H86" t="s">
        <v>405</v>
      </c>
      <c r="I86" t="s">
        <v>260</v>
      </c>
      <c r="J86">
        <v>0.02901424806362521</v>
      </c>
      <c r="K86">
        <v>0.09386884323116695</v>
      </c>
      <c r="L86">
        <v>0.002723533902954624</v>
      </c>
      <c r="M86">
        <v>7.057615711206592E-05</v>
      </c>
      <c r="N86" t="s">
        <v>1018</v>
      </c>
    </row>
    <row r="87" spans="1:14">
      <c r="A87" t="s">
        <v>6</v>
      </c>
      <c r="B87" t="s">
        <v>34</v>
      </c>
      <c r="C87" t="s">
        <v>1014</v>
      </c>
      <c r="D87" t="s">
        <v>1015</v>
      </c>
      <c r="E87" t="s">
        <v>1016</v>
      </c>
      <c r="F87" t="s">
        <v>1017</v>
      </c>
      <c r="G87" t="s">
        <v>405</v>
      </c>
      <c r="H87" t="s">
        <v>405</v>
      </c>
      <c r="I87" t="s">
        <v>379</v>
      </c>
      <c r="J87">
        <v>0.001612118159831202</v>
      </c>
      <c r="K87">
        <v>0.09386884323116695</v>
      </c>
      <c r="L87">
        <v>0.0001513276668153124</v>
      </c>
      <c r="M87">
        <v>2.878593624031053E-06</v>
      </c>
      <c r="N87" t="s">
        <v>1018</v>
      </c>
    </row>
    <row r="88" spans="1:14">
      <c r="A88" t="s">
        <v>6</v>
      </c>
      <c r="B88" t="s">
        <v>34</v>
      </c>
      <c r="C88" t="s">
        <v>1014</v>
      </c>
      <c r="D88" t="s">
        <v>1015</v>
      </c>
      <c r="E88" t="s">
        <v>1016</v>
      </c>
      <c r="F88" t="s">
        <v>1017</v>
      </c>
      <c r="G88" t="s">
        <v>405</v>
      </c>
      <c r="H88" t="s">
        <v>405</v>
      </c>
      <c r="I88" t="s">
        <v>264</v>
      </c>
      <c r="J88">
        <v>0.02971754623650699</v>
      </c>
      <c r="K88">
        <v>0.09386884323116695</v>
      </c>
      <c r="L88">
        <v>0.00278955168888963</v>
      </c>
      <c r="M88">
        <v>7.026578561434836E-05</v>
      </c>
      <c r="N88" t="s">
        <v>1018</v>
      </c>
    </row>
    <row r="89" spans="1:14">
      <c r="A89" t="s">
        <v>6</v>
      </c>
      <c r="B89" t="s">
        <v>34</v>
      </c>
      <c r="C89" t="s">
        <v>1014</v>
      </c>
      <c r="D89" t="s">
        <v>1015</v>
      </c>
      <c r="E89" t="s">
        <v>1016</v>
      </c>
      <c r="F89" t="s">
        <v>1017</v>
      </c>
      <c r="G89" t="s">
        <v>405</v>
      </c>
      <c r="H89" t="s">
        <v>405</v>
      </c>
      <c r="I89" t="s">
        <v>266</v>
      </c>
      <c r="J89">
        <v>0.0005723754050201394</v>
      </c>
      <c r="K89">
        <v>0.09386884323116695</v>
      </c>
      <c r="L89">
        <v>5.372821716321115E-05</v>
      </c>
      <c r="M89">
        <v>1.367130207715296E-05</v>
      </c>
      <c r="N89" t="s">
        <v>1018</v>
      </c>
    </row>
    <row r="90" spans="1:14">
      <c r="A90" t="s">
        <v>6</v>
      </c>
      <c r="B90" t="s">
        <v>34</v>
      </c>
      <c r="C90" t="s">
        <v>1014</v>
      </c>
      <c r="D90" t="s">
        <v>1015</v>
      </c>
      <c r="E90" t="s">
        <v>1016</v>
      </c>
      <c r="F90" t="s">
        <v>1017</v>
      </c>
      <c r="G90" t="s">
        <v>405</v>
      </c>
      <c r="H90" t="s">
        <v>405</v>
      </c>
      <c r="I90" t="s">
        <v>268</v>
      </c>
      <c r="J90">
        <v>0.1699883465883955</v>
      </c>
      <c r="K90">
        <v>0.09386884323116695</v>
      </c>
      <c r="L90">
        <v>0.01595660945703137</v>
      </c>
      <c r="M90">
        <v>0.0003329843375841271</v>
      </c>
      <c r="N90" t="s">
        <v>1018</v>
      </c>
    </row>
    <row r="91" spans="1:14">
      <c r="A91" t="s">
        <v>6</v>
      </c>
      <c r="B91" t="s">
        <v>34</v>
      </c>
      <c r="C91" t="s">
        <v>1014</v>
      </c>
      <c r="D91" t="s">
        <v>1015</v>
      </c>
      <c r="E91" t="s">
        <v>1016</v>
      </c>
      <c r="F91" t="s">
        <v>1017</v>
      </c>
      <c r="G91" t="s">
        <v>405</v>
      </c>
      <c r="H91" t="s">
        <v>405</v>
      </c>
      <c r="I91" t="s">
        <v>408</v>
      </c>
      <c r="J91">
        <v>0.01950042535994282</v>
      </c>
      <c r="K91">
        <v>0.09386884323116695</v>
      </c>
      <c r="L91">
        <v>0.001830482371053544</v>
      </c>
      <c r="M91">
        <v>0.0001312173742690713</v>
      </c>
      <c r="N91" t="s">
        <v>1018</v>
      </c>
    </row>
    <row r="92" spans="1:14">
      <c r="A92" t="s">
        <v>6</v>
      </c>
      <c r="B92" t="s">
        <v>34</v>
      </c>
      <c r="C92" t="s">
        <v>1014</v>
      </c>
      <c r="D92" t="s">
        <v>1015</v>
      </c>
      <c r="E92" t="s">
        <v>1016</v>
      </c>
      <c r="F92" t="s">
        <v>1017</v>
      </c>
      <c r="G92" t="s">
        <v>405</v>
      </c>
      <c r="H92" t="s">
        <v>405</v>
      </c>
      <c r="I92" t="s">
        <v>338</v>
      </c>
      <c r="J92">
        <v>0.07104595741501361</v>
      </c>
      <c r="K92">
        <v>0.09386884323116695</v>
      </c>
      <c r="L92">
        <v>0.006669001838798076</v>
      </c>
      <c r="M92">
        <v>0.0009098228975167907</v>
      </c>
      <c r="N92" t="s">
        <v>1018</v>
      </c>
    </row>
    <row r="93" spans="1:14">
      <c r="A93" t="s">
        <v>6</v>
      </c>
      <c r="B93" t="s">
        <v>34</v>
      </c>
      <c r="C93" t="s">
        <v>1014</v>
      </c>
      <c r="D93" t="s">
        <v>1015</v>
      </c>
      <c r="E93" t="s">
        <v>1016</v>
      </c>
      <c r="F93" t="s">
        <v>1017</v>
      </c>
      <c r="G93" t="s">
        <v>405</v>
      </c>
      <c r="H93" t="s">
        <v>405</v>
      </c>
      <c r="I93" t="s">
        <v>111</v>
      </c>
      <c r="J93">
        <v>0.1261975068491653</v>
      </c>
      <c r="K93">
        <v>0.09386884323116695</v>
      </c>
      <c r="L93">
        <v>0.01184601398658842</v>
      </c>
      <c r="M93">
        <v>0.0004080611087353915</v>
      </c>
      <c r="N93" t="s">
        <v>1018</v>
      </c>
    </row>
    <row r="94" spans="1:14">
      <c r="A94" t="s">
        <v>6</v>
      </c>
      <c r="B94" t="s">
        <v>34</v>
      </c>
      <c r="C94" t="s">
        <v>1014</v>
      </c>
      <c r="D94" t="s">
        <v>1015</v>
      </c>
      <c r="E94" t="s">
        <v>1016</v>
      </c>
      <c r="F94" t="s">
        <v>1017</v>
      </c>
      <c r="G94" t="s">
        <v>405</v>
      </c>
      <c r="H94" t="s">
        <v>405</v>
      </c>
      <c r="I94" t="s">
        <v>441</v>
      </c>
      <c r="J94">
        <v>0.01445708505124931</v>
      </c>
      <c r="K94">
        <v>0.09386884323116695</v>
      </c>
      <c r="L94">
        <v>0.001357069850255369</v>
      </c>
      <c r="M94">
        <v>0.0001048740224308631</v>
      </c>
      <c r="N94" t="s">
        <v>1018</v>
      </c>
    </row>
    <row r="95" spans="1:14">
      <c r="A95" t="s">
        <v>6</v>
      </c>
      <c r="B95" t="s">
        <v>34</v>
      </c>
      <c r="C95" t="s">
        <v>1014</v>
      </c>
      <c r="D95" t="s">
        <v>1015</v>
      </c>
      <c r="E95" t="s">
        <v>1016</v>
      </c>
      <c r="F95" t="s">
        <v>1017</v>
      </c>
      <c r="G95" t="s">
        <v>405</v>
      </c>
      <c r="H95" t="s">
        <v>405</v>
      </c>
      <c r="I95" t="s">
        <v>271</v>
      </c>
      <c r="J95">
        <v>0.01046874669527673</v>
      </c>
      <c r="K95">
        <v>0.09386884323116695</v>
      </c>
      <c r="L95">
        <v>0.0009826891423657287</v>
      </c>
      <c r="M95">
        <v>3.017160400263214E-05</v>
      </c>
      <c r="N95" t="s">
        <v>1018</v>
      </c>
    </row>
    <row r="96" spans="1:14">
      <c r="A96" t="s">
        <v>6</v>
      </c>
      <c r="B96" t="s">
        <v>34</v>
      </c>
      <c r="C96" t="s">
        <v>1014</v>
      </c>
      <c r="D96" t="s">
        <v>1015</v>
      </c>
      <c r="E96" t="s">
        <v>1016</v>
      </c>
      <c r="F96" t="s">
        <v>1017</v>
      </c>
      <c r="G96" t="s">
        <v>405</v>
      </c>
      <c r="H96" t="s">
        <v>405</v>
      </c>
      <c r="I96" t="s">
        <v>416</v>
      </c>
      <c r="J96">
        <v>0.04202103732408896</v>
      </c>
      <c r="K96">
        <v>0.09386884323116695</v>
      </c>
      <c r="L96">
        <v>0.003944466164985922</v>
      </c>
      <c r="M96">
        <v>0.0001777587275793565</v>
      </c>
      <c r="N96" t="s">
        <v>1018</v>
      </c>
    </row>
    <row r="97" spans="1:14">
      <c r="A97" t="s">
        <v>6</v>
      </c>
      <c r="B97" t="s">
        <v>34</v>
      </c>
      <c r="C97" t="s">
        <v>1014</v>
      </c>
      <c r="D97" t="s">
        <v>1015</v>
      </c>
      <c r="E97" t="s">
        <v>1016</v>
      </c>
      <c r="F97" t="s">
        <v>1017</v>
      </c>
      <c r="G97" t="s">
        <v>405</v>
      </c>
      <c r="H97" t="s">
        <v>405</v>
      </c>
      <c r="I97" t="s">
        <v>274</v>
      </c>
      <c r="J97">
        <v>0.03102313672037154</v>
      </c>
      <c r="K97">
        <v>0.09386884323116695</v>
      </c>
      <c r="L97">
        <v>0.002912105957343615</v>
      </c>
      <c r="M97">
        <v>0.0001020359480498814</v>
      </c>
      <c r="N97" t="s">
        <v>1018</v>
      </c>
    </row>
    <row r="98" spans="1:14">
      <c r="A98" t="s">
        <v>6</v>
      </c>
      <c r="B98" t="s">
        <v>34</v>
      </c>
      <c r="C98" t="s">
        <v>1014</v>
      </c>
      <c r="D98" t="s">
        <v>1015</v>
      </c>
      <c r="E98" t="s">
        <v>1016</v>
      </c>
      <c r="F98" t="s">
        <v>1017</v>
      </c>
      <c r="G98" t="s">
        <v>405</v>
      </c>
      <c r="H98" t="s">
        <v>405</v>
      </c>
      <c r="I98" t="s">
        <v>119</v>
      </c>
      <c r="J98">
        <v>0.05165150163698441</v>
      </c>
      <c r="K98">
        <v>0.09386884323116695</v>
      </c>
      <c r="L98">
        <v>0.004848466709816452</v>
      </c>
      <c r="M98">
        <v>0.0001364996258394271</v>
      </c>
      <c r="N98" t="s">
        <v>1018</v>
      </c>
    </row>
    <row r="99" spans="1:14">
      <c r="A99" t="s">
        <v>6</v>
      </c>
      <c r="B99" t="s">
        <v>34</v>
      </c>
      <c r="C99" t="s">
        <v>1014</v>
      </c>
      <c r="D99" t="s">
        <v>1015</v>
      </c>
      <c r="E99" t="s">
        <v>1016</v>
      </c>
      <c r="F99" t="s">
        <v>1017</v>
      </c>
      <c r="G99" t="s">
        <v>405</v>
      </c>
      <c r="H99" t="s">
        <v>405</v>
      </c>
      <c r="I99" t="s">
        <v>433</v>
      </c>
      <c r="J99">
        <v>0.001116209525659887</v>
      </c>
      <c r="K99">
        <v>0.09386884323116695</v>
      </c>
      <c r="L99">
        <v>0.0001047772969773031</v>
      </c>
      <c r="M99">
        <v>1.179526026987539E-06</v>
      </c>
      <c r="N99" t="s">
        <v>1018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6.7109375" customWidth="1"/>
    <col min="2" max="2" width="115.7109375" customWidth="1"/>
  </cols>
  <sheetData>
    <row r="1" spans="1:2" ht="60" customHeight="1">
      <c r="A1" t="s">
        <v>1019</v>
      </c>
      <c r="B1" s="4" t="s">
        <v>1020</v>
      </c>
    </row>
    <row r="2" spans="1:2" ht="60" customHeight="1">
      <c r="A2" t="s">
        <v>1021</v>
      </c>
      <c r="B2" s="4" t="s">
        <v>1022</v>
      </c>
    </row>
    <row r="3" spans="1:2" ht="60" customHeight="1">
      <c r="A3" t="s">
        <v>1023</v>
      </c>
      <c r="B3" s="4" t="s">
        <v>1024</v>
      </c>
    </row>
    <row r="4" spans="1:2" ht="60" customHeight="1">
      <c r="A4" t="s">
        <v>1025</v>
      </c>
      <c r="B4" s="4" t="s">
        <v>1026</v>
      </c>
    </row>
    <row r="5" spans="1:2" ht="60" customHeight="1">
      <c r="A5" t="s">
        <v>1027</v>
      </c>
      <c r="B5" s="4" t="s">
        <v>1028</v>
      </c>
    </row>
    <row r="6" spans="1:2" ht="60" customHeight="1">
      <c r="A6" t="s">
        <v>1029</v>
      </c>
      <c r="B6" s="4" t="s">
        <v>1030</v>
      </c>
    </row>
    <row r="7" spans="1:2" ht="60" customHeight="1">
      <c r="A7" t="s">
        <v>1031</v>
      </c>
      <c r="B7" s="4" t="s">
        <v>1032</v>
      </c>
    </row>
    <row r="8" spans="1:2" ht="60" customHeight="1">
      <c r="A8" t="s">
        <v>1033</v>
      </c>
      <c r="B8" s="4" t="s">
        <v>1034</v>
      </c>
    </row>
    <row r="9" spans="1:2" ht="60" customHeight="1">
      <c r="A9" t="s">
        <v>1035</v>
      </c>
      <c r="B9" s="4" t="s">
        <v>1036</v>
      </c>
    </row>
    <row r="10" spans="1:2" ht="60" customHeight="1">
      <c r="A10" t="s">
        <v>1037</v>
      </c>
      <c r="B10" s="4" t="s">
        <v>1038</v>
      </c>
    </row>
    <row r="11" spans="1:2" ht="60" customHeight="1">
      <c r="A11" t="s">
        <v>1039</v>
      </c>
      <c r="B11" s="4" t="s">
        <v>1040</v>
      </c>
    </row>
    <row r="12" spans="1:2" ht="60" customHeight="1">
      <c r="A12" t="s">
        <v>1041</v>
      </c>
      <c r="B12" s="4" t="s">
        <v>1042</v>
      </c>
    </row>
    <row r="13" spans="1:2" ht="60" customHeight="1">
      <c r="A13" t="s">
        <v>1043</v>
      </c>
      <c r="B13" s="4" t="s">
        <v>1044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Resumo 12 anos</vt:lpstr>
      <vt:lpstr>Graham R03 B2</vt:lpstr>
      <vt:lpstr>Barsi B00S B2</vt:lpstr>
      <vt:lpstr>Barsi B00S BH entradas</vt:lpstr>
      <vt:lpstr>BH Padrao</vt:lpstr>
      <vt:lpstr>Conciliacao 48 totais</vt:lpstr>
      <vt:lpstr>Transferencias resgates</vt:lpstr>
      <vt:lpstr>Leia-me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Atribuição anual realizada 2014–2026</dc:title>
  <dc:creator>B3 research</dc:creator>
  <dc:description>Base imutável cb3db59</dc:description>
  <cp:lastModifiedBy>B3 research</cp:lastModifiedBy>
  <dcterms:created xsi:type="dcterms:W3CDTF">2026-10-08T00:00:00Z</dcterms:created>
  <dcterms:modified xsi:type="dcterms:W3CDTF">2026-10-08T00:00:00Z</dcterms:modified>
</cp:coreProperties>
</file>